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charts/style1.xml" ContentType="application/vnd.ms-office.chartstyl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ace Plan" sheetId="1" state="visible" r:id="rId1"/>
    <sheet name="Elevation Profile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<sst xmlns="http://schemas.openxmlformats.org/spreadsheetml/2006/main" count="763" uniqueCount="763">
  <si>
    <t xml:space="preserve">Segment Name</t>
  </si>
  <si>
    <t>Surface</t>
  </si>
  <si>
    <t xml:space="preserve">Distance (km)</t>
  </si>
  <si>
    <t xml:space="preserve">Split Length (km)</t>
  </si>
  <si>
    <t xml:space="preserve">Gain (m)</t>
  </si>
  <si>
    <t xml:space="preserve">Loss (m)</t>
  </si>
  <si>
    <t xml:space="preserve">Net Change (m)</t>
  </si>
  <si>
    <t xml:space="preserve">Cumulative Elevation (m)</t>
  </si>
  <si>
    <t xml:space="preserve">Grade (%)</t>
  </si>
  <si>
    <t xml:space="preserve">Target Pace (min/km)</t>
  </si>
  <si>
    <t xml:space="preserve">Split Time (min)</t>
  </si>
  <si>
    <t xml:space="preserve">Station Delay (min)</t>
  </si>
  <si>
    <t xml:space="preserve">Arrival Time</t>
  </si>
  <si>
    <t xml:space="preserve">5.0 km</t>
  </si>
  <si>
    <t>Asphalt</t>
  </si>
  <si>
    <t xml:space="preserve">Target Pace</t>
  </si>
  <si>
    <t>min/km</t>
  </si>
  <si>
    <t xml:space="preserve">10.0 km</t>
  </si>
  <si>
    <t>Paved</t>
  </si>
  <si>
    <t xml:space="preserve">Race Start</t>
  </si>
  <si>
    <t xml:space="preserve">15.0 km</t>
  </si>
  <si>
    <t>Unpaved</t>
  </si>
  <si>
    <t xml:space="preserve">20.0 km</t>
  </si>
  <si>
    <t>Unknown</t>
  </si>
  <si>
    <t xml:space="preserve">25.0 km</t>
  </si>
  <si>
    <t xml:space="preserve">30.0 km</t>
  </si>
  <si>
    <t xml:space="preserve">35.0 km</t>
  </si>
  <si>
    <t xml:space="preserve">40.0 km</t>
  </si>
  <si>
    <t xml:space="preserve">45.0 km</t>
  </si>
  <si>
    <t xml:space="preserve">50.0 km</t>
  </si>
  <si>
    <t>Gravel</t>
  </si>
  <si>
    <t xml:space="preserve">55.0 km</t>
  </si>
  <si>
    <t xml:space="preserve">60.0 km</t>
  </si>
  <si>
    <t xml:space="preserve">65.0 km</t>
  </si>
  <si>
    <t xml:space="preserve">70.0 km</t>
  </si>
  <si>
    <t>Finish</t>
  </si>
  <si>
    <t xml:space="preserve">Average Pace</t>
  </si>
  <si>
    <t xml:space="preserve">Total moving time</t>
  </si>
  <si>
    <t xml:space="preserve">0.1 km</t>
  </si>
  <si>
    <t xml:space="preserve">0.2 km</t>
  </si>
  <si>
    <t xml:space="preserve">0.3 km</t>
  </si>
  <si>
    <t xml:space="preserve">0.4 km</t>
  </si>
  <si>
    <t xml:space="preserve">0.5 km</t>
  </si>
  <si>
    <t xml:space="preserve">0.6 km</t>
  </si>
  <si>
    <t xml:space="preserve">0.7 km</t>
  </si>
  <si>
    <t xml:space="preserve">0.8 km</t>
  </si>
  <si>
    <t xml:space="preserve">0.9 km</t>
  </si>
  <si>
    <t xml:space="preserve">1.0 km</t>
  </si>
  <si>
    <t xml:space="preserve">1.1 km</t>
  </si>
  <si>
    <t xml:space="preserve">1.2 km</t>
  </si>
  <si>
    <t xml:space="preserve">1.3 km</t>
  </si>
  <si>
    <t xml:space="preserve">1.4 km</t>
  </si>
  <si>
    <t xml:space="preserve">1.5 km</t>
  </si>
  <si>
    <t xml:space="preserve">1.6 km</t>
  </si>
  <si>
    <t xml:space="preserve">1.7 km</t>
  </si>
  <si>
    <t xml:space="preserve">1.8 km</t>
  </si>
  <si>
    <t xml:space="preserve">1.9 km</t>
  </si>
  <si>
    <t xml:space="preserve">2.0 km</t>
  </si>
  <si>
    <t xml:space="preserve">2.1 km</t>
  </si>
  <si>
    <t xml:space="preserve">2.2 km</t>
  </si>
  <si>
    <t xml:space="preserve">2.3 km</t>
  </si>
  <si>
    <t xml:space="preserve">2.4 km</t>
  </si>
  <si>
    <t xml:space="preserve">2.5 km</t>
  </si>
  <si>
    <t xml:space="preserve">2.6 km</t>
  </si>
  <si>
    <t xml:space="preserve">2.7 km</t>
  </si>
  <si>
    <t xml:space="preserve">2.8 km</t>
  </si>
  <si>
    <t xml:space="preserve">2.9 km</t>
  </si>
  <si>
    <t xml:space="preserve">3.0 km</t>
  </si>
  <si>
    <t xml:space="preserve">3.1 km</t>
  </si>
  <si>
    <t xml:space="preserve">3.2 km</t>
  </si>
  <si>
    <t xml:space="preserve">3.3 km</t>
  </si>
  <si>
    <t xml:space="preserve">3.4 km</t>
  </si>
  <si>
    <t xml:space="preserve">3.5 km</t>
  </si>
  <si>
    <t xml:space="preserve">3.6 km</t>
  </si>
  <si>
    <t xml:space="preserve">3.7 km</t>
  </si>
  <si>
    <t xml:space="preserve">3.8 km</t>
  </si>
  <si>
    <t xml:space="preserve">3.9 km</t>
  </si>
  <si>
    <t xml:space="preserve">4.0 km</t>
  </si>
  <si>
    <t xml:space="preserve">4.1 km</t>
  </si>
  <si>
    <t xml:space="preserve">4.2 km</t>
  </si>
  <si>
    <t xml:space="preserve">4.3 km</t>
  </si>
  <si>
    <t xml:space="preserve">4.4 km</t>
  </si>
  <si>
    <t xml:space="preserve">4.5 km</t>
  </si>
  <si>
    <t xml:space="preserve">4.6 km</t>
  </si>
  <si>
    <t xml:space="preserve">4.7 km</t>
  </si>
  <si>
    <t xml:space="preserve">4.8 km</t>
  </si>
  <si>
    <t xml:space="preserve">4.9 km</t>
  </si>
  <si>
    <t xml:space="preserve">5.1 km</t>
  </si>
  <si>
    <t xml:space="preserve">5.2 km</t>
  </si>
  <si>
    <t xml:space="preserve">5.3 km</t>
  </si>
  <si>
    <t xml:space="preserve">5.4 km</t>
  </si>
  <si>
    <t xml:space="preserve">5.5 km</t>
  </si>
  <si>
    <t xml:space="preserve">5.6 km</t>
  </si>
  <si>
    <t xml:space="preserve">5.7 km</t>
  </si>
  <si>
    <t xml:space="preserve">5.8 km</t>
  </si>
  <si>
    <t xml:space="preserve">5.9 km</t>
  </si>
  <si>
    <t xml:space="preserve">6.0 km</t>
  </si>
  <si>
    <t xml:space="preserve">6.1 km</t>
  </si>
  <si>
    <t xml:space="preserve">6.2 km</t>
  </si>
  <si>
    <t xml:space="preserve">6.3 km</t>
  </si>
  <si>
    <t xml:space="preserve">6.4 km</t>
  </si>
  <si>
    <t xml:space="preserve">6.5 km</t>
  </si>
  <si>
    <t xml:space="preserve">6.6 km</t>
  </si>
  <si>
    <t xml:space="preserve">6.7 km</t>
  </si>
  <si>
    <t xml:space="preserve">6.8 km</t>
  </si>
  <si>
    <t xml:space="preserve">6.9 km</t>
  </si>
  <si>
    <t xml:space="preserve">7.0 km</t>
  </si>
  <si>
    <t xml:space="preserve">7.1 km</t>
  </si>
  <si>
    <t xml:space="preserve">7.2 km</t>
  </si>
  <si>
    <t xml:space="preserve">7.3 km</t>
  </si>
  <si>
    <t xml:space="preserve">7.4 km</t>
  </si>
  <si>
    <t xml:space="preserve">7.5 km</t>
  </si>
  <si>
    <t xml:space="preserve">7.6 km</t>
  </si>
  <si>
    <t xml:space="preserve">7.7 km</t>
  </si>
  <si>
    <t xml:space="preserve">7.8 km</t>
  </si>
  <si>
    <t xml:space="preserve">7.9 km</t>
  </si>
  <si>
    <t xml:space="preserve">8.0 km</t>
  </si>
  <si>
    <t xml:space="preserve">8.1 km</t>
  </si>
  <si>
    <t xml:space="preserve">8.2 km</t>
  </si>
  <si>
    <t xml:space="preserve">8.3 km</t>
  </si>
  <si>
    <t xml:space="preserve">8.4 km</t>
  </si>
  <si>
    <t xml:space="preserve">8.5 km</t>
  </si>
  <si>
    <t xml:space="preserve">8.6 km</t>
  </si>
  <si>
    <t xml:space="preserve">8.7 km</t>
  </si>
  <si>
    <t xml:space="preserve">8.8 km</t>
  </si>
  <si>
    <t xml:space="preserve">8.9 km</t>
  </si>
  <si>
    <t xml:space="preserve">9.0 km</t>
  </si>
  <si>
    <t xml:space="preserve">9.1 km</t>
  </si>
  <si>
    <t xml:space="preserve">9.2 km</t>
  </si>
  <si>
    <t xml:space="preserve">9.3 km</t>
  </si>
  <si>
    <t xml:space="preserve">9.4 km</t>
  </si>
  <si>
    <t xml:space="preserve">9.5 km</t>
  </si>
  <si>
    <t xml:space="preserve">9.6 km</t>
  </si>
  <si>
    <t xml:space="preserve">9.7 km</t>
  </si>
  <si>
    <t xml:space="preserve">9.8 km</t>
  </si>
  <si>
    <t xml:space="preserve">9.9 km</t>
  </si>
  <si>
    <t xml:space="preserve">10.1 km</t>
  </si>
  <si>
    <t xml:space="preserve">10.2 km</t>
  </si>
  <si>
    <t xml:space="preserve">10.3 km</t>
  </si>
  <si>
    <t xml:space="preserve">10.4 km</t>
  </si>
  <si>
    <t xml:space="preserve">10.5 km</t>
  </si>
  <si>
    <t xml:space="preserve">10.6 km</t>
  </si>
  <si>
    <t xml:space="preserve">10.7 km</t>
  </si>
  <si>
    <t xml:space="preserve">10.8 km</t>
  </si>
  <si>
    <t xml:space="preserve">10.9 km</t>
  </si>
  <si>
    <t xml:space="preserve">11.0 km</t>
  </si>
  <si>
    <t xml:space="preserve">11.1 km</t>
  </si>
  <si>
    <t xml:space="preserve">11.2 km</t>
  </si>
  <si>
    <t xml:space="preserve">11.3 km</t>
  </si>
  <si>
    <t xml:space="preserve">11.4 km</t>
  </si>
  <si>
    <t xml:space="preserve">11.5 km</t>
  </si>
  <si>
    <t xml:space="preserve">11.6 km</t>
  </si>
  <si>
    <t xml:space="preserve">11.7 km</t>
  </si>
  <si>
    <t xml:space="preserve">11.8 km</t>
  </si>
  <si>
    <t xml:space="preserve">11.9 km</t>
  </si>
  <si>
    <t xml:space="preserve">12.0 km</t>
  </si>
  <si>
    <t xml:space="preserve">12.1 km</t>
  </si>
  <si>
    <t xml:space="preserve">12.2 km</t>
  </si>
  <si>
    <t xml:space="preserve">12.3 km</t>
  </si>
  <si>
    <t xml:space="preserve">12.4 km</t>
  </si>
  <si>
    <t xml:space="preserve">12.5 km</t>
  </si>
  <si>
    <t xml:space="preserve">12.6 km</t>
  </si>
  <si>
    <t xml:space="preserve">12.7 km</t>
  </si>
  <si>
    <t xml:space="preserve">12.8 km</t>
  </si>
  <si>
    <t xml:space="preserve">12.9 km</t>
  </si>
  <si>
    <t xml:space="preserve">13.0 km</t>
  </si>
  <si>
    <t xml:space="preserve">13.1 km</t>
  </si>
  <si>
    <t xml:space="preserve">13.2 km</t>
  </si>
  <si>
    <t xml:space="preserve">13.3 km</t>
  </si>
  <si>
    <t xml:space="preserve">13.4 km</t>
  </si>
  <si>
    <t xml:space="preserve">13.5 km</t>
  </si>
  <si>
    <t xml:space="preserve">13.6 km</t>
  </si>
  <si>
    <t xml:space="preserve">13.7 km</t>
  </si>
  <si>
    <t xml:space="preserve">13.8 km</t>
  </si>
  <si>
    <t xml:space="preserve">13.9 km</t>
  </si>
  <si>
    <t xml:space="preserve">14.0 km</t>
  </si>
  <si>
    <t xml:space="preserve">14.1 km</t>
  </si>
  <si>
    <t xml:space="preserve">14.2 km</t>
  </si>
  <si>
    <t xml:space="preserve">14.3 km</t>
  </si>
  <si>
    <t xml:space="preserve">14.4 km</t>
  </si>
  <si>
    <t xml:space="preserve">14.5 km</t>
  </si>
  <si>
    <t xml:space="preserve">14.6 km</t>
  </si>
  <si>
    <t xml:space="preserve">14.7 km</t>
  </si>
  <si>
    <t xml:space="preserve">14.8 km</t>
  </si>
  <si>
    <t xml:space="preserve">14.9 km</t>
  </si>
  <si>
    <t xml:space="preserve">15.1 km</t>
  </si>
  <si>
    <t xml:space="preserve">15.2 km</t>
  </si>
  <si>
    <t xml:space="preserve">15.3 km</t>
  </si>
  <si>
    <t xml:space="preserve">15.4 km</t>
  </si>
  <si>
    <t xml:space="preserve">15.5 km</t>
  </si>
  <si>
    <t xml:space="preserve">15.6 km</t>
  </si>
  <si>
    <t xml:space="preserve">15.7 km</t>
  </si>
  <si>
    <t xml:space="preserve">15.8 km</t>
  </si>
  <si>
    <t xml:space="preserve">15.9 km</t>
  </si>
  <si>
    <t xml:space="preserve">16.0 km</t>
  </si>
  <si>
    <t xml:space="preserve">16.1 km</t>
  </si>
  <si>
    <t xml:space="preserve">16.2 km</t>
  </si>
  <si>
    <t xml:space="preserve">16.3 km</t>
  </si>
  <si>
    <t xml:space="preserve">16.4 km</t>
  </si>
  <si>
    <t xml:space="preserve">16.5 km</t>
  </si>
  <si>
    <t xml:space="preserve">16.6 km</t>
  </si>
  <si>
    <t xml:space="preserve">16.7 km</t>
  </si>
  <si>
    <t xml:space="preserve">16.8 km</t>
  </si>
  <si>
    <t xml:space="preserve">16.9 km</t>
  </si>
  <si>
    <t xml:space="preserve">17.0 km</t>
  </si>
  <si>
    <t xml:space="preserve">17.1 km</t>
  </si>
  <si>
    <t xml:space="preserve">17.2 km</t>
  </si>
  <si>
    <t xml:space="preserve">17.3 km</t>
  </si>
  <si>
    <t xml:space="preserve">17.4 km</t>
  </si>
  <si>
    <t xml:space="preserve">17.5 km</t>
  </si>
  <si>
    <t xml:space="preserve">17.6 km</t>
  </si>
  <si>
    <t xml:space="preserve">17.7 km</t>
  </si>
  <si>
    <t xml:space="preserve">17.8 km</t>
  </si>
  <si>
    <t xml:space="preserve">17.9 km</t>
  </si>
  <si>
    <t xml:space="preserve">18.0 km</t>
  </si>
  <si>
    <t xml:space="preserve">18.1 km</t>
  </si>
  <si>
    <t xml:space="preserve">18.2 km</t>
  </si>
  <si>
    <t xml:space="preserve">18.3 km</t>
  </si>
  <si>
    <t xml:space="preserve">18.4 km</t>
  </si>
  <si>
    <t xml:space="preserve">18.5 km</t>
  </si>
  <si>
    <t xml:space="preserve">18.6 km</t>
  </si>
  <si>
    <t xml:space="preserve">18.7 km</t>
  </si>
  <si>
    <t xml:space="preserve">18.8 km</t>
  </si>
  <si>
    <t xml:space="preserve">18.9 km</t>
  </si>
  <si>
    <t xml:space="preserve">19.0 km</t>
  </si>
  <si>
    <t xml:space="preserve">19.1 km</t>
  </si>
  <si>
    <t xml:space="preserve">19.2 km</t>
  </si>
  <si>
    <t xml:space="preserve">19.3 km</t>
  </si>
  <si>
    <t xml:space="preserve">19.4 km</t>
  </si>
  <si>
    <t xml:space="preserve">19.5 km</t>
  </si>
  <si>
    <t xml:space="preserve">19.6 km</t>
  </si>
  <si>
    <t xml:space="preserve">19.7 km</t>
  </si>
  <si>
    <t xml:space="preserve">19.8 km</t>
  </si>
  <si>
    <t xml:space="preserve">19.9 km</t>
  </si>
  <si>
    <t xml:space="preserve">20.1 km</t>
  </si>
  <si>
    <t xml:space="preserve">20.2 km</t>
  </si>
  <si>
    <t xml:space="preserve">20.3 km</t>
  </si>
  <si>
    <t xml:space="preserve">20.4 km</t>
  </si>
  <si>
    <t xml:space="preserve">20.5 km</t>
  </si>
  <si>
    <t xml:space="preserve">20.6 km</t>
  </si>
  <si>
    <t xml:space="preserve">20.7 km</t>
  </si>
  <si>
    <t xml:space="preserve">20.8 km</t>
  </si>
  <si>
    <t xml:space="preserve">20.9 km</t>
  </si>
  <si>
    <t xml:space="preserve">21.0 km</t>
  </si>
  <si>
    <t xml:space="preserve">21.1 km</t>
  </si>
  <si>
    <t xml:space="preserve">21.2 km</t>
  </si>
  <si>
    <t xml:space="preserve">21.3 km</t>
  </si>
  <si>
    <t xml:space="preserve">21.4 km</t>
  </si>
  <si>
    <t xml:space="preserve">21.5 km</t>
  </si>
  <si>
    <t xml:space="preserve">21.6 km</t>
  </si>
  <si>
    <t xml:space="preserve">21.7 km</t>
  </si>
  <si>
    <t xml:space="preserve">21.8 km</t>
  </si>
  <si>
    <t xml:space="preserve">21.9 km</t>
  </si>
  <si>
    <t xml:space="preserve">22.0 km</t>
  </si>
  <si>
    <t xml:space="preserve">22.1 km</t>
  </si>
  <si>
    <t xml:space="preserve">22.2 km</t>
  </si>
  <si>
    <t xml:space="preserve">22.3 km</t>
  </si>
  <si>
    <t xml:space="preserve">22.4 km</t>
  </si>
  <si>
    <t xml:space="preserve">22.5 km</t>
  </si>
  <si>
    <t xml:space="preserve">22.6 km</t>
  </si>
  <si>
    <t xml:space="preserve">22.7 km</t>
  </si>
  <si>
    <t xml:space="preserve">22.8 km</t>
  </si>
  <si>
    <t xml:space="preserve">22.9 km</t>
  </si>
  <si>
    <t xml:space="preserve">23.0 km</t>
  </si>
  <si>
    <t xml:space="preserve">23.1 km</t>
  </si>
  <si>
    <t xml:space="preserve">23.2 km</t>
  </si>
  <si>
    <t xml:space="preserve">23.3 km</t>
  </si>
  <si>
    <t xml:space="preserve">23.4 km</t>
  </si>
  <si>
    <t xml:space="preserve">23.5 km</t>
  </si>
  <si>
    <t xml:space="preserve">23.6 km</t>
  </si>
  <si>
    <t xml:space="preserve">23.7 km</t>
  </si>
  <si>
    <t xml:space="preserve">23.8 km</t>
  </si>
  <si>
    <t xml:space="preserve">23.9 km</t>
  </si>
  <si>
    <t xml:space="preserve">24.0 km</t>
  </si>
  <si>
    <t xml:space="preserve">24.1 km</t>
  </si>
  <si>
    <t xml:space="preserve">24.2 km</t>
  </si>
  <si>
    <t xml:space="preserve">24.3 km</t>
  </si>
  <si>
    <t xml:space="preserve">24.4 km</t>
  </si>
  <si>
    <t xml:space="preserve">24.5 km</t>
  </si>
  <si>
    <t xml:space="preserve">24.6 km</t>
  </si>
  <si>
    <t xml:space="preserve">24.7 km</t>
  </si>
  <si>
    <t xml:space="preserve">24.8 km</t>
  </si>
  <si>
    <t xml:space="preserve">24.9 km</t>
  </si>
  <si>
    <t xml:space="preserve">25.1 km</t>
  </si>
  <si>
    <t xml:space="preserve">25.2 km</t>
  </si>
  <si>
    <t xml:space="preserve">25.3 km</t>
  </si>
  <si>
    <t xml:space="preserve">25.4 km</t>
  </si>
  <si>
    <t xml:space="preserve">25.5 km</t>
  </si>
  <si>
    <t xml:space="preserve">25.6 km</t>
  </si>
  <si>
    <t xml:space="preserve">25.7 km</t>
  </si>
  <si>
    <t xml:space="preserve">25.8 km</t>
  </si>
  <si>
    <t xml:space="preserve">25.9 km</t>
  </si>
  <si>
    <t xml:space="preserve">26.0 km</t>
  </si>
  <si>
    <t xml:space="preserve">26.1 km</t>
  </si>
  <si>
    <t xml:space="preserve">26.2 km</t>
  </si>
  <si>
    <t xml:space="preserve">26.3 km</t>
  </si>
  <si>
    <t xml:space="preserve">26.4 km</t>
  </si>
  <si>
    <t xml:space="preserve">26.5 km</t>
  </si>
  <si>
    <t xml:space="preserve">26.6 km</t>
  </si>
  <si>
    <t xml:space="preserve">26.7 km</t>
  </si>
  <si>
    <t xml:space="preserve">26.8 km</t>
  </si>
  <si>
    <t xml:space="preserve">26.9 km</t>
  </si>
  <si>
    <t xml:space="preserve">27.0 km</t>
  </si>
  <si>
    <t xml:space="preserve">27.1 km</t>
  </si>
  <si>
    <t xml:space="preserve">27.2 km</t>
  </si>
  <si>
    <t xml:space="preserve">27.3 km</t>
  </si>
  <si>
    <t xml:space="preserve">27.4 km</t>
  </si>
  <si>
    <t xml:space="preserve">27.5 km</t>
  </si>
  <si>
    <t xml:space="preserve">27.6 km</t>
  </si>
  <si>
    <t xml:space="preserve">27.7 km</t>
  </si>
  <si>
    <t xml:space="preserve">27.8 km</t>
  </si>
  <si>
    <t xml:space="preserve">27.9 km</t>
  </si>
  <si>
    <t xml:space="preserve">28.0 km</t>
  </si>
  <si>
    <t xml:space="preserve">28.1 km</t>
  </si>
  <si>
    <t xml:space="preserve">28.2 km</t>
  </si>
  <si>
    <t xml:space="preserve">28.3 km</t>
  </si>
  <si>
    <t xml:space="preserve">28.4 km</t>
  </si>
  <si>
    <t xml:space="preserve">28.5 km</t>
  </si>
  <si>
    <t xml:space="preserve">28.6 km</t>
  </si>
  <si>
    <t xml:space="preserve">28.7 km</t>
  </si>
  <si>
    <t xml:space="preserve">28.8 km</t>
  </si>
  <si>
    <t xml:space="preserve">28.9 km</t>
  </si>
  <si>
    <t xml:space="preserve">29.0 km</t>
  </si>
  <si>
    <t xml:space="preserve">29.1 km</t>
  </si>
  <si>
    <t xml:space="preserve">29.2 km</t>
  </si>
  <si>
    <t xml:space="preserve">29.3 km</t>
  </si>
  <si>
    <t xml:space="preserve">29.4 km</t>
  </si>
  <si>
    <t xml:space="preserve">29.5 km</t>
  </si>
  <si>
    <t xml:space="preserve">29.6 km</t>
  </si>
  <si>
    <t xml:space="preserve">29.7 km</t>
  </si>
  <si>
    <t xml:space="preserve">29.8 km</t>
  </si>
  <si>
    <t xml:space="preserve">29.9 km</t>
  </si>
  <si>
    <t xml:space="preserve">30.1 km</t>
  </si>
  <si>
    <t xml:space="preserve">30.2 km</t>
  </si>
  <si>
    <t xml:space="preserve">30.3 km</t>
  </si>
  <si>
    <t xml:space="preserve">30.4 km</t>
  </si>
  <si>
    <t xml:space="preserve">30.5 km</t>
  </si>
  <si>
    <t xml:space="preserve">30.6 km</t>
  </si>
  <si>
    <t xml:space="preserve">30.7 km</t>
  </si>
  <si>
    <t xml:space="preserve">30.8 km</t>
  </si>
  <si>
    <t xml:space="preserve">30.9 km</t>
  </si>
  <si>
    <t xml:space="preserve">31.0 km</t>
  </si>
  <si>
    <t xml:space="preserve">31.1 km</t>
  </si>
  <si>
    <t xml:space="preserve">31.2 km</t>
  </si>
  <si>
    <t xml:space="preserve">31.3 km</t>
  </si>
  <si>
    <t xml:space="preserve">31.4 km</t>
  </si>
  <si>
    <t xml:space="preserve">31.5 km</t>
  </si>
  <si>
    <t xml:space="preserve">31.6 km</t>
  </si>
  <si>
    <t xml:space="preserve">31.7 km</t>
  </si>
  <si>
    <t xml:space="preserve">31.8 km</t>
  </si>
  <si>
    <t xml:space="preserve">31.9 km</t>
  </si>
  <si>
    <t xml:space="preserve">32.0 km</t>
  </si>
  <si>
    <t xml:space="preserve">32.1 km</t>
  </si>
  <si>
    <t xml:space="preserve">32.2 km</t>
  </si>
  <si>
    <t xml:space="preserve">32.3 km</t>
  </si>
  <si>
    <t xml:space="preserve">32.4 km</t>
  </si>
  <si>
    <t xml:space="preserve">32.5 km</t>
  </si>
  <si>
    <t xml:space="preserve">32.6 km</t>
  </si>
  <si>
    <t xml:space="preserve">32.7 km</t>
  </si>
  <si>
    <t xml:space="preserve">32.8 km</t>
  </si>
  <si>
    <t xml:space="preserve">32.9 km</t>
  </si>
  <si>
    <t xml:space="preserve">33.0 km</t>
  </si>
  <si>
    <t xml:space="preserve">33.1 km</t>
  </si>
  <si>
    <t xml:space="preserve">33.2 km</t>
  </si>
  <si>
    <t xml:space="preserve">33.3 km</t>
  </si>
  <si>
    <t xml:space="preserve">33.4 km</t>
  </si>
  <si>
    <t xml:space="preserve">33.5 km</t>
  </si>
  <si>
    <t xml:space="preserve">33.6 km</t>
  </si>
  <si>
    <t xml:space="preserve">33.7 km</t>
  </si>
  <si>
    <t xml:space="preserve">33.8 km</t>
  </si>
  <si>
    <t xml:space="preserve">33.9 km</t>
  </si>
  <si>
    <t xml:space="preserve">34.0 km</t>
  </si>
  <si>
    <t xml:space="preserve">34.1 km</t>
  </si>
  <si>
    <t xml:space="preserve">34.2 km</t>
  </si>
  <si>
    <t xml:space="preserve">34.3 km</t>
  </si>
  <si>
    <t xml:space="preserve">34.4 km</t>
  </si>
  <si>
    <t xml:space="preserve">34.5 km</t>
  </si>
  <si>
    <t xml:space="preserve">34.6 km</t>
  </si>
  <si>
    <t xml:space="preserve">34.7 km</t>
  </si>
  <si>
    <t xml:space="preserve">34.8 km</t>
  </si>
  <si>
    <t xml:space="preserve">34.9 km</t>
  </si>
  <si>
    <t xml:space="preserve">35.1 km</t>
  </si>
  <si>
    <t xml:space="preserve">35.2 km</t>
  </si>
  <si>
    <t xml:space="preserve">35.3 km</t>
  </si>
  <si>
    <t xml:space="preserve">35.4 km</t>
  </si>
  <si>
    <t xml:space="preserve">35.5 km</t>
  </si>
  <si>
    <t xml:space="preserve">35.6 km</t>
  </si>
  <si>
    <t xml:space="preserve">35.7 km</t>
  </si>
  <si>
    <t xml:space="preserve">35.8 km</t>
  </si>
  <si>
    <t xml:space="preserve">35.9 km</t>
  </si>
  <si>
    <t xml:space="preserve">36.0 km</t>
  </si>
  <si>
    <t xml:space="preserve">36.1 km</t>
  </si>
  <si>
    <t xml:space="preserve">36.2 km</t>
  </si>
  <si>
    <t xml:space="preserve">36.3 km</t>
  </si>
  <si>
    <t xml:space="preserve">36.4 km</t>
  </si>
  <si>
    <t xml:space="preserve">36.5 km</t>
  </si>
  <si>
    <t xml:space="preserve">36.6 km</t>
  </si>
  <si>
    <t xml:space="preserve">36.7 km</t>
  </si>
  <si>
    <t xml:space="preserve">36.8 km</t>
  </si>
  <si>
    <t xml:space="preserve">36.9 km</t>
  </si>
  <si>
    <t xml:space="preserve">37.0 km</t>
  </si>
  <si>
    <t xml:space="preserve">37.1 km</t>
  </si>
  <si>
    <t xml:space="preserve">37.2 km</t>
  </si>
  <si>
    <t xml:space="preserve">37.3 km</t>
  </si>
  <si>
    <t xml:space="preserve">37.4 km</t>
  </si>
  <si>
    <t xml:space="preserve">37.5 km</t>
  </si>
  <si>
    <t xml:space="preserve">37.6 km</t>
  </si>
  <si>
    <t xml:space="preserve">37.7 km</t>
  </si>
  <si>
    <t xml:space="preserve">37.8 km</t>
  </si>
  <si>
    <t xml:space="preserve">37.9 km</t>
  </si>
  <si>
    <t xml:space="preserve">38.0 km</t>
  </si>
  <si>
    <t xml:space="preserve">38.1 km</t>
  </si>
  <si>
    <t xml:space="preserve">38.2 km</t>
  </si>
  <si>
    <t xml:space="preserve">38.3 km</t>
  </si>
  <si>
    <t xml:space="preserve">38.4 km</t>
  </si>
  <si>
    <t xml:space="preserve">38.5 km</t>
  </si>
  <si>
    <t xml:space="preserve">38.6 km</t>
  </si>
  <si>
    <t xml:space="preserve">38.7 km</t>
  </si>
  <si>
    <t xml:space="preserve">38.8 km</t>
  </si>
  <si>
    <t xml:space="preserve">38.9 km</t>
  </si>
  <si>
    <t xml:space="preserve">39.0 km</t>
  </si>
  <si>
    <t xml:space="preserve">39.1 km</t>
  </si>
  <si>
    <t xml:space="preserve">39.2 km</t>
  </si>
  <si>
    <t xml:space="preserve">39.3 km</t>
  </si>
  <si>
    <t xml:space="preserve">39.4 km</t>
  </si>
  <si>
    <t xml:space="preserve">39.5 km</t>
  </si>
  <si>
    <t xml:space="preserve">39.6 km</t>
  </si>
  <si>
    <t xml:space="preserve">39.7 km</t>
  </si>
  <si>
    <t xml:space="preserve">39.8 km</t>
  </si>
  <si>
    <t xml:space="preserve">39.9 km</t>
  </si>
  <si>
    <t xml:space="preserve">40.1 km</t>
  </si>
  <si>
    <t xml:space="preserve">40.2 km</t>
  </si>
  <si>
    <t xml:space="preserve">40.3 km</t>
  </si>
  <si>
    <t xml:space="preserve">40.4 km</t>
  </si>
  <si>
    <t xml:space="preserve">40.5 km</t>
  </si>
  <si>
    <t xml:space="preserve">40.6 km</t>
  </si>
  <si>
    <t xml:space="preserve">40.7 km</t>
  </si>
  <si>
    <t xml:space="preserve">40.8 km</t>
  </si>
  <si>
    <t xml:space="preserve">40.9 km</t>
  </si>
  <si>
    <t xml:space="preserve">41.0 km</t>
  </si>
  <si>
    <t xml:space="preserve">41.1 km</t>
  </si>
  <si>
    <t xml:space="preserve">41.2 km</t>
  </si>
  <si>
    <t xml:space="preserve">41.3 km</t>
  </si>
  <si>
    <t xml:space="preserve">41.4 km</t>
  </si>
  <si>
    <t xml:space="preserve">41.5 km</t>
  </si>
  <si>
    <t xml:space="preserve">41.6 km</t>
  </si>
  <si>
    <t xml:space="preserve">41.7 km</t>
  </si>
  <si>
    <t xml:space="preserve">41.8 km</t>
  </si>
  <si>
    <t xml:space="preserve">41.9 km</t>
  </si>
  <si>
    <t xml:space="preserve">42.0 km</t>
  </si>
  <si>
    <t xml:space="preserve">42.1 km</t>
  </si>
  <si>
    <t xml:space="preserve">42.2 km</t>
  </si>
  <si>
    <t xml:space="preserve">42.3 km</t>
  </si>
  <si>
    <t xml:space="preserve">42.4 km</t>
  </si>
  <si>
    <t xml:space="preserve">42.5 km</t>
  </si>
  <si>
    <t xml:space="preserve">42.6 km</t>
  </si>
  <si>
    <t xml:space="preserve">42.7 km</t>
  </si>
  <si>
    <t xml:space="preserve">42.8 km</t>
  </si>
  <si>
    <t xml:space="preserve">42.9 km</t>
  </si>
  <si>
    <t xml:space="preserve">43.0 km</t>
  </si>
  <si>
    <t xml:space="preserve">43.1 km</t>
  </si>
  <si>
    <t xml:space="preserve">43.2 km</t>
  </si>
  <si>
    <t xml:space="preserve">43.3 km</t>
  </si>
  <si>
    <t xml:space="preserve">43.4 km</t>
  </si>
  <si>
    <t xml:space="preserve">43.5 km</t>
  </si>
  <si>
    <t xml:space="preserve">43.6 km</t>
  </si>
  <si>
    <t xml:space="preserve">43.7 km</t>
  </si>
  <si>
    <t xml:space="preserve">43.8 km</t>
  </si>
  <si>
    <t xml:space="preserve">43.9 km</t>
  </si>
  <si>
    <t xml:space="preserve">44.0 km</t>
  </si>
  <si>
    <t xml:space="preserve">44.1 km</t>
  </si>
  <si>
    <t xml:space="preserve">44.2 km</t>
  </si>
  <si>
    <t xml:space="preserve">44.3 km</t>
  </si>
  <si>
    <t xml:space="preserve">44.4 km</t>
  </si>
  <si>
    <t xml:space="preserve">44.5 km</t>
  </si>
  <si>
    <t xml:space="preserve">44.6 km</t>
  </si>
  <si>
    <t xml:space="preserve">44.7 km</t>
  </si>
  <si>
    <t xml:space="preserve">44.8 km</t>
  </si>
  <si>
    <t xml:space="preserve">44.9 km</t>
  </si>
  <si>
    <t xml:space="preserve">45.1 km</t>
  </si>
  <si>
    <t xml:space="preserve">45.2 km</t>
  </si>
  <si>
    <t xml:space="preserve">45.3 km</t>
  </si>
  <si>
    <t xml:space="preserve">45.4 km</t>
  </si>
  <si>
    <t xml:space="preserve">45.5 km</t>
  </si>
  <si>
    <t xml:space="preserve">45.6 km</t>
  </si>
  <si>
    <t xml:space="preserve">45.7 km</t>
  </si>
  <si>
    <t xml:space="preserve">45.8 km</t>
  </si>
  <si>
    <t xml:space="preserve">45.9 km</t>
  </si>
  <si>
    <t xml:space="preserve">46.0 km</t>
  </si>
  <si>
    <t xml:space="preserve">46.1 km</t>
  </si>
  <si>
    <t xml:space="preserve">46.2 km</t>
  </si>
  <si>
    <t xml:space="preserve">46.3 km</t>
  </si>
  <si>
    <t xml:space="preserve">46.4 km</t>
  </si>
  <si>
    <t xml:space="preserve">46.5 km</t>
  </si>
  <si>
    <t xml:space="preserve">46.6 km</t>
  </si>
  <si>
    <t xml:space="preserve">46.7 km</t>
  </si>
  <si>
    <t xml:space="preserve">46.8 km</t>
  </si>
  <si>
    <t xml:space="preserve">46.9 km</t>
  </si>
  <si>
    <t xml:space="preserve">47.0 km</t>
  </si>
  <si>
    <t xml:space="preserve">47.1 km</t>
  </si>
  <si>
    <t xml:space="preserve">47.2 km</t>
  </si>
  <si>
    <t xml:space="preserve">47.3 km</t>
  </si>
  <si>
    <t xml:space="preserve">47.4 km</t>
  </si>
  <si>
    <t xml:space="preserve">47.5 km</t>
  </si>
  <si>
    <t xml:space="preserve">47.6 km</t>
  </si>
  <si>
    <t xml:space="preserve">47.7 km</t>
  </si>
  <si>
    <t xml:space="preserve">47.8 km</t>
  </si>
  <si>
    <t xml:space="preserve">47.9 km</t>
  </si>
  <si>
    <t xml:space="preserve">48.0 km</t>
  </si>
  <si>
    <t xml:space="preserve">48.1 km</t>
  </si>
  <si>
    <t xml:space="preserve">48.2 km</t>
  </si>
  <si>
    <t xml:space="preserve">48.3 km</t>
  </si>
  <si>
    <t xml:space="preserve">48.4 km</t>
  </si>
  <si>
    <t xml:space="preserve">48.5 km</t>
  </si>
  <si>
    <t xml:space="preserve">48.6 km</t>
  </si>
  <si>
    <t xml:space="preserve">48.7 km</t>
  </si>
  <si>
    <t xml:space="preserve">48.8 km</t>
  </si>
  <si>
    <t xml:space="preserve">48.9 km</t>
  </si>
  <si>
    <t xml:space="preserve">49.0 km</t>
  </si>
  <si>
    <t xml:space="preserve">49.1 km</t>
  </si>
  <si>
    <t xml:space="preserve">49.2 km</t>
  </si>
  <si>
    <t xml:space="preserve">49.3 km</t>
  </si>
  <si>
    <t xml:space="preserve">49.4 km</t>
  </si>
  <si>
    <t xml:space="preserve">49.5 km</t>
  </si>
  <si>
    <t xml:space="preserve">49.6 km</t>
  </si>
  <si>
    <t xml:space="preserve">49.7 km</t>
  </si>
  <si>
    <t xml:space="preserve">49.8 km</t>
  </si>
  <si>
    <t xml:space="preserve">49.9 km</t>
  </si>
  <si>
    <t xml:space="preserve">50.1 km</t>
  </si>
  <si>
    <t xml:space="preserve">50.2 km</t>
  </si>
  <si>
    <t xml:space="preserve">50.3 km</t>
  </si>
  <si>
    <t xml:space="preserve">50.4 km</t>
  </si>
  <si>
    <t xml:space="preserve">50.5 km</t>
  </si>
  <si>
    <t xml:space="preserve">50.6 km</t>
  </si>
  <si>
    <t xml:space="preserve">50.7 km</t>
  </si>
  <si>
    <t xml:space="preserve">50.8 km</t>
  </si>
  <si>
    <t xml:space="preserve">50.9 km</t>
  </si>
  <si>
    <t xml:space="preserve">51.0 km</t>
  </si>
  <si>
    <t xml:space="preserve">51.1 km</t>
  </si>
  <si>
    <t xml:space="preserve">51.2 km</t>
  </si>
  <si>
    <t xml:space="preserve">51.3 km</t>
  </si>
  <si>
    <t xml:space="preserve">51.4 km</t>
  </si>
  <si>
    <t xml:space="preserve">51.5 km</t>
  </si>
  <si>
    <t xml:space="preserve">51.6 km</t>
  </si>
  <si>
    <t xml:space="preserve">51.7 km</t>
  </si>
  <si>
    <t xml:space="preserve">51.8 km</t>
  </si>
  <si>
    <t xml:space="preserve">51.9 km</t>
  </si>
  <si>
    <t xml:space="preserve">52.0 km</t>
  </si>
  <si>
    <t xml:space="preserve">52.1 km</t>
  </si>
  <si>
    <t xml:space="preserve">52.2 km</t>
  </si>
  <si>
    <t xml:space="preserve">52.3 km</t>
  </si>
  <si>
    <t xml:space="preserve">52.4 km</t>
  </si>
  <si>
    <t xml:space="preserve">52.5 km</t>
  </si>
  <si>
    <t xml:space="preserve">52.6 km</t>
  </si>
  <si>
    <t xml:space="preserve">52.7 km</t>
  </si>
  <si>
    <t xml:space="preserve">52.8 km</t>
  </si>
  <si>
    <t xml:space="preserve">52.9 km</t>
  </si>
  <si>
    <t xml:space="preserve">53.0 km</t>
  </si>
  <si>
    <t xml:space="preserve">53.1 km</t>
  </si>
  <si>
    <t xml:space="preserve">53.2 km</t>
  </si>
  <si>
    <t xml:space="preserve">53.3 km</t>
  </si>
  <si>
    <t xml:space="preserve">53.4 km</t>
  </si>
  <si>
    <t xml:space="preserve">53.5 km</t>
  </si>
  <si>
    <t xml:space="preserve">53.6 km</t>
  </si>
  <si>
    <t xml:space="preserve">53.7 km</t>
  </si>
  <si>
    <t xml:space="preserve">53.8 km</t>
  </si>
  <si>
    <t xml:space="preserve">53.9 km</t>
  </si>
  <si>
    <t xml:space="preserve">54.0 km</t>
  </si>
  <si>
    <t xml:space="preserve">54.1 km</t>
  </si>
  <si>
    <t xml:space="preserve">54.2 km</t>
  </si>
  <si>
    <t xml:space="preserve">54.3 km</t>
  </si>
  <si>
    <t xml:space="preserve">54.4 km</t>
  </si>
  <si>
    <t xml:space="preserve">54.5 km</t>
  </si>
  <si>
    <t xml:space="preserve">54.6 km</t>
  </si>
  <si>
    <t xml:space="preserve">54.7 km</t>
  </si>
  <si>
    <t xml:space="preserve">54.8 km</t>
  </si>
  <si>
    <t xml:space="preserve">54.9 km</t>
  </si>
  <si>
    <t xml:space="preserve">55.1 km</t>
  </si>
  <si>
    <t xml:space="preserve">55.2 km</t>
  </si>
  <si>
    <t xml:space="preserve">55.3 km</t>
  </si>
  <si>
    <t xml:space="preserve">55.4 km</t>
  </si>
  <si>
    <t xml:space="preserve">55.5 km</t>
  </si>
  <si>
    <t xml:space="preserve">55.6 km</t>
  </si>
  <si>
    <t xml:space="preserve">55.7 km</t>
  </si>
  <si>
    <t xml:space="preserve">55.8 km</t>
  </si>
  <si>
    <t xml:space="preserve">55.9 km</t>
  </si>
  <si>
    <t xml:space="preserve">56.0 km</t>
  </si>
  <si>
    <t xml:space="preserve">56.1 km</t>
  </si>
  <si>
    <t xml:space="preserve">56.2 km</t>
  </si>
  <si>
    <t xml:space="preserve">56.3 km</t>
  </si>
  <si>
    <t xml:space="preserve">56.4 km</t>
  </si>
  <si>
    <t xml:space="preserve">56.5 km</t>
  </si>
  <si>
    <t xml:space="preserve">56.6 km</t>
  </si>
  <si>
    <t xml:space="preserve">56.7 km</t>
  </si>
  <si>
    <t xml:space="preserve">56.8 km</t>
  </si>
  <si>
    <t xml:space="preserve">56.9 km</t>
  </si>
  <si>
    <t xml:space="preserve">57.0 km</t>
  </si>
  <si>
    <t xml:space="preserve">57.1 km</t>
  </si>
  <si>
    <t xml:space="preserve">57.2 km</t>
  </si>
  <si>
    <t xml:space="preserve">57.3 km</t>
  </si>
  <si>
    <t xml:space="preserve">57.4 km</t>
  </si>
  <si>
    <t xml:space="preserve">57.5 km</t>
  </si>
  <si>
    <t xml:space="preserve">57.6 km</t>
  </si>
  <si>
    <t xml:space="preserve">57.7 km</t>
  </si>
  <si>
    <t xml:space="preserve">57.8 km</t>
  </si>
  <si>
    <t xml:space="preserve">57.9 km</t>
  </si>
  <si>
    <t xml:space="preserve">58.0 km</t>
  </si>
  <si>
    <t xml:space="preserve">58.1 km</t>
  </si>
  <si>
    <t xml:space="preserve">58.2 km</t>
  </si>
  <si>
    <t xml:space="preserve">58.3 km</t>
  </si>
  <si>
    <t xml:space="preserve">58.4 km</t>
  </si>
  <si>
    <t xml:space="preserve">58.5 km</t>
  </si>
  <si>
    <t xml:space="preserve">58.6 km</t>
  </si>
  <si>
    <t xml:space="preserve">58.7 km</t>
  </si>
  <si>
    <t xml:space="preserve">58.8 km</t>
  </si>
  <si>
    <t xml:space="preserve">58.9 km</t>
  </si>
  <si>
    <t xml:space="preserve">59.0 km</t>
  </si>
  <si>
    <t xml:space="preserve">59.1 km</t>
  </si>
  <si>
    <t xml:space="preserve">59.2 km</t>
  </si>
  <si>
    <t xml:space="preserve">59.3 km</t>
  </si>
  <si>
    <t xml:space="preserve">59.4 km</t>
  </si>
  <si>
    <t xml:space="preserve">59.5 km</t>
  </si>
  <si>
    <t xml:space="preserve">59.6 km</t>
  </si>
  <si>
    <t xml:space="preserve">59.7 km</t>
  </si>
  <si>
    <t xml:space="preserve">59.8 km</t>
  </si>
  <si>
    <t xml:space="preserve">59.9 km</t>
  </si>
  <si>
    <t xml:space="preserve">60.1 km</t>
  </si>
  <si>
    <t xml:space="preserve">60.2 km</t>
  </si>
  <si>
    <t xml:space="preserve">60.3 km</t>
  </si>
  <si>
    <t xml:space="preserve">60.4 km</t>
  </si>
  <si>
    <t xml:space="preserve">60.5 km</t>
  </si>
  <si>
    <t xml:space="preserve">60.6 km</t>
  </si>
  <si>
    <t xml:space="preserve">60.7 km</t>
  </si>
  <si>
    <t xml:space="preserve">60.8 km</t>
  </si>
  <si>
    <t xml:space="preserve">60.9 km</t>
  </si>
  <si>
    <t xml:space="preserve">61.0 km</t>
  </si>
  <si>
    <t xml:space="preserve">61.1 km</t>
  </si>
  <si>
    <t xml:space="preserve">61.2 km</t>
  </si>
  <si>
    <t xml:space="preserve">61.3 km</t>
  </si>
  <si>
    <t xml:space="preserve">61.4 km</t>
  </si>
  <si>
    <t xml:space="preserve">61.5 km</t>
  </si>
  <si>
    <t xml:space="preserve">61.6 km</t>
  </si>
  <si>
    <t xml:space="preserve">61.7 km</t>
  </si>
  <si>
    <t xml:space="preserve">61.8 km</t>
  </si>
  <si>
    <t xml:space="preserve">61.9 km</t>
  </si>
  <si>
    <t xml:space="preserve">62.0 km</t>
  </si>
  <si>
    <t xml:space="preserve">62.1 km</t>
  </si>
  <si>
    <t xml:space="preserve">62.2 km</t>
  </si>
  <si>
    <t xml:space="preserve">62.3 km</t>
  </si>
  <si>
    <t xml:space="preserve">62.4 km</t>
  </si>
  <si>
    <t xml:space="preserve">62.5 km</t>
  </si>
  <si>
    <t xml:space="preserve">62.6 km</t>
  </si>
  <si>
    <t xml:space="preserve">62.7 km</t>
  </si>
  <si>
    <t xml:space="preserve">62.8 km</t>
  </si>
  <si>
    <t xml:space="preserve">62.9 km</t>
  </si>
  <si>
    <t xml:space="preserve">63.0 km</t>
  </si>
  <si>
    <t xml:space="preserve">63.1 km</t>
  </si>
  <si>
    <t xml:space="preserve">63.2 km</t>
  </si>
  <si>
    <t xml:space="preserve">63.3 km</t>
  </si>
  <si>
    <t xml:space="preserve">63.4 km</t>
  </si>
  <si>
    <t xml:space="preserve">63.5 km</t>
  </si>
  <si>
    <t xml:space="preserve">63.6 km</t>
  </si>
  <si>
    <t xml:space="preserve">63.7 km</t>
  </si>
  <si>
    <t xml:space="preserve">63.8 km</t>
  </si>
  <si>
    <t xml:space="preserve">63.9 km</t>
  </si>
  <si>
    <t xml:space="preserve">64.0 km</t>
  </si>
  <si>
    <t xml:space="preserve">64.1 km</t>
  </si>
  <si>
    <t xml:space="preserve">64.2 km</t>
  </si>
  <si>
    <t xml:space="preserve">64.3 km</t>
  </si>
  <si>
    <t xml:space="preserve">64.4 km</t>
  </si>
  <si>
    <t xml:space="preserve">64.5 km</t>
  </si>
  <si>
    <t xml:space="preserve">64.6 km</t>
  </si>
  <si>
    <t xml:space="preserve">64.7 km</t>
  </si>
  <si>
    <t xml:space="preserve">64.8 km</t>
  </si>
  <si>
    <t xml:space="preserve">64.9 km</t>
  </si>
  <si>
    <t xml:space="preserve">65.1 km</t>
  </si>
  <si>
    <t xml:space="preserve">65.2 km</t>
  </si>
  <si>
    <t xml:space="preserve">65.3 km</t>
  </si>
  <si>
    <t xml:space="preserve">65.4 km</t>
  </si>
  <si>
    <t xml:space="preserve">65.5 km</t>
  </si>
  <si>
    <t xml:space="preserve">65.6 km</t>
  </si>
  <si>
    <t xml:space="preserve">65.7 km</t>
  </si>
  <si>
    <t xml:space="preserve">65.8 km</t>
  </si>
  <si>
    <t xml:space="preserve">65.9 km</t>
  </si>
  <si>
    <t xml:space="preserve">66.0 km</t>
  </si>
  <si>
    <t xml:space="preserve">66.1 km</t>
  </si>
  <si>
    <t xml:space="preserve">66.2 km</t>
  </si>
  <si>
    <t xml:space="preserve">66.3 km</t>
  </si>
  <si>
    <t xml:space="preserve">66.4 km</t>
  </si>
  <si>
    <t xml:space="preserve">66.5 km</t>
  </si>
  <si>
    <t xml:space="preserve">66.6 km</t>
  </si>
  <si>
    <t xml:space="preserve">66.7 km</t>
  </si>
  <si>
    <t xml:space="preserve">66.8 km</t>
  </si>
  <si>
    <t xml:space="preserve">66.9 km</t>
  </si>
  <si>
    <t xml:space="preserve">67.0 km</t>
  </si>
  <si>
    <t xml:space="preserve">67.1 km</t>
  </si>
  <si>
    <t xml:space="preserve">67.2 km</t>
  </si>
  <si>
    <t xml:space="preserve">67.3 km</t>
  </si>
  <si>
    <t xml:space="preserve">67.4 km</t>
  </si>
  <si>
    <t xml:space="preserve">67.5 km</t>
  </si>
  <si>
    <t xml:space="preserve">67.6 km</t>
  </si>
  <si>
    <t xml:space="preserve">67.7 km</t>
  </si>
  <si>
    <t xml:space="preserve">67.8 km</t>
  </si>
  <si>
    <t xml:space="preserve">67.9 km</t>
  </si>
  <si>
    <t xml:space="preserve">68.0 km</t>
  </si>
  <si>
    <t xml:space="preserve">68.1 km</t>
  </si>
  <si>
    <t xml:space="preserve">68.2 km</t>
  </si>
  <si>
    <t xml:space="preserve">68.3 km</t>
  </si>
  <si>
    <t xml:space="preserve">68.4 km</t>
  </si>
  <si>
    <t xml:space="preserve">68.5 km</t>
  </si>
  <si>
    <t xml:space="preserve">68.6 km</t>
  </si>
  <si>
    <t xml:space="preserve">68.7 km</t>
  </si>
  <si>
    <t xml:space="preserve">68.8 km</t>
  </si>
  <si>
    <t xml:space="preserve">68.9 km</t>
  </si>
  <si>
    <t xml:space="preserve">69.0 km</t>
  </si>
  <si>
    <t xml:space="preserve">69.1 km</t>
  </si>
  <si>
    <t xml:space="preserve">69.2 km</t>
  </si>
  <si>
    <t xml:space="preserve">69.3 km</t>
  </si>
  <si>
    <t xml:space="preserve">69.4 km</t>
  </si>
  <si>
    <t xml:space="preserve">69.5 km</t>
  </si>
  <si>
    <t xml:space="preserve">69.6 km</t>
  </si>
  <si>
    <t xml:space="preserve">69.7 km</t>
  </si>
  <si>
    <t xml:space="preserve">69.8 km</t>
  </si>
  <si>
    <t xml:space="preserve">69.9 km</t>
  </si>
  <si>
    <t xml:space="preserve">70.1 km</t>
  </si>
  <si>
    <t xml:space="preserve">70.2 km</t>
  </si>
  <si>
    <t xml:space="preserve">70.3 km</t>
  </si>
  <si>
    <t xml:space="preserve">70.4 km</t>
  </si>
  <si>
    <t xml:space="preserve">70.5 km</t>
  </si>
  <si>
    <t xml:space="preserve">70.6 km</t>
  </si>
  <si>
    <t xml:space="preserve">70.7 km</t>
  </si>
  <si>
    <t xml:space="preserve">70.8 km</t>
  </si>
  <si>
    <t xml:space="preserve">70.9 km</t>
  </si>
  <si>
    <t xml:space="preserve">71.0 km</t>
  </si>
  <si>
    <t xml:space="preserve">71.1 km</t>
  </si>
  <si>
    <t xml:space="preserve">71.2 km</t>
  </si>
  <si>
    <t xml:space="preserve">71.3 km</t>
  </si>
  <si>
    <t xml:space="preserve">71.4 km</t>
  </si>
  <si>
    <t xml:space="preserve">71.5 km</t>
  </si>
  <si>
    <t xml:space="preserve">71.6 km</t>
  </si>
  <si>
    <t xml:space="preserve">71.7 km</t>
  </si>
  <si>
    <t xml:space="preserve">71.8 km</t>
  </si>
  <si>
    <t xml:space="preserve">71.9 km</t>
  </si>
  <si>
    <t xml:space="preserve">72.0 km</t>
  </si>
  <si>
    <t xml:space="preserve">72.1 km</t>
  </si>
  <si>
    <t xml:space="preserve">72.2 km</t>
  </si>
  <si>
    <t xml:space="preserve">72.3 km</t>
  </si>
  <si>
    <t xml:space="preserve">72.4 km</t>
  </si>
  <si>
    <t xml:space="preserve">72.5 km</t>
  </si>
  <si>
    <t xml:space="preserve">72.6 km</t>
  </si>
  <si>
    <t xml:space="preserve">72.7 km</t>
  </si>
  <si>
    <t xml:space="preserve">72.8 km</t>
  </si>
  <si>
    <t xml:space="preserve">72.9 km</t>
  </si>
  <si>
    <t xml:space="preserve">73.0 km</t>
  </si>
  <si>
    <t xml:space="preserve">73.1 km</t>
  </si>
  <si>
    <t xml:space="preserve">73.2 km</t>
  </si>
  <si>
    <t xml:space="preserve">73.3 km</t>
  </si>
  <si>
    <t xml:space="preserve">73.4 km</t>
  </si>
  <si>
    <t xml:space="preserve">73.5 km</t>
  </si>
  <si>
    <t xml:space="preserve">73.6 km</t>
  </si>
  <si>
    <t xml:space="preserve">73.7 km</t>
  </si>
  <si>
    <t xml:space="preserve">73.8 km</t>
  </si>
  <si>
    <t xml:space="preserve">73.9 km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</si>
</sst>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3">
    <font>
      <sz val="10.000000"/>
      <color indexed="64"/>
      <name val="Arial"/>
    </font>
    <font>
      <sz val="10.000000"/>
      <name val="Arial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2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left" vertical="center"/>
      <protection hidden="0" locked="1"/>
    </xf>
    <xf fontId="2" fillId="0" borderId="0" numFmtId="49" xfId="0" applyNumberFormat="1" applyFont="1" applyAlignment="1" applyProtection="0">
      <alignment horizontal="left" vertical="center"/>
      <protection hidden="0" locked="1"/>
    </xf>
    <xf fontId="2" fillId="0" borderId="1" numFmtId="0" xfId="0" applyFont="1" applyBorder="1" applyAlignment="1" applyProtection="0">
      <alignment vertical="center"/>
      <protection hidden="0" locked="1"/>
    </xf>
    <xf fontId="2" fillId="0" borderId="2" numFmtId="0" xfId="0" applyFont="1" applyBorder="1" applyAlignment="1" applyProtection="0">
      <alignment vertical="center"/>
      <protection hidden="0" locked="1"/>
    </xf>
    <xf fontId="2" fillId="0" borderId="2" numFmtId="46" xfId="0" applyNumberFormat="1" applyFont="1" applyBorder="1" applyAlignment="1" applyProtection="0">
      <alignment vertical="center"/>
      <protection hidden="0" locked="1"/>
    </xf>
    <xf fontId="2" fillId="0" borderId="3" numFmtId="164" xfId="0" applyNumberFormat="1" applyFont="1" applyBorder="1" applyAlignment="1" applyProtection="0">
      <alignment vertical="center"/>
      <protection hidden="0" locked="1"/>
    </xf>
    <xf fontId="2" fillId="0" borderId="0" numFmtId="0" xfId="0" applyFont="1" applyProtection="0">
      <protection hidden="0" locked="1"/>
    </xf>
    <xf fontId="2" fillId="0" borderId="0" numFmtId="46" xfId="0" applyNumberFormat="1" applyFont="1" applyProtection="0">
      <protection hidden="0" locked="1"/>
    </xf>
    <xf fontId="2" fillId="0" borderId="4" numFmtId="0" xfId="0" applyFont="1" applyBorder="1" applyAlignment="1" applyProtection="0">
      <alignment vertical="center"/>
      <protection hidden="0" locked="1"/>
    </xf>
    <xf fontId="2" fillId="0" borderId="0" numFmtId="0" xfId="0" applyFont="1" applyAlignment="1" applyProtection="0">
      <alignment vertical="center"/>
      <protection hidden="0" locked="1"/>
    </xf>
    <xf fontId="2" fillId="0" borderId="0" numFmtId="46" xfId="0" applyNumberFormat="1" applyFont="1" applyAlignment="1" applyProtection="0">
      <alignment vertical="center"/>
      <protection hidden="0" locked="1"/>
    </xf>
    <xf fontId="2" fillId="0" borderId="5" numFmtId="164" xfId="0" applyNumberFormat="1" applyFont="1" applyBorder="1" applyAlignment="1" applyProtection="0">
      <alignment vertical="center"/>
      <protection hidden="0" locked="1"/>
    </xf>
    <xf fontId="2" fillId="0" borderId="0" numFmtId="164" xfId="0" applyNumberFormat="1" applyFont="1" applyProtection="0">
      <protection hidden="0" locked="1"/>
    </xf>
    <xf fontId="2" fillId="0" borderId="6" numFmtId="0" xfId="0" applyFont="1" applyBorder="1" applyAlignment="1" applyProtection="0">
      <alignment vertical="center"/>
      <protection hidden="0" locked="1"/>
    </xf>
    <xf fontId="2" fillId="0" borderId="7" numFmtId="0" xfId="0" applyFont="1" applyBorder="1" applyAlignment="1" applyProtection="0">
      <alignment vertical="center"/>
      <protection hidden="0" locked="1"/>
    </xf>
    <xf fontId="2" fillId="0" borderId="7" numFmtId="46" xfId="0" applyNumberFormat="1" applyFont="1" applyBorder="1" applyAlignment="1" applyProtection="0">
      <alignment vertical="center"/>
      <protection hidden="0" locked="1"/>
    </xf>
    <xf fontId="2" fillId="0" borderId="8" numFmtId="164" xfId="0" applyNumberFormat="1" applyFont="1" applyBorder="1" applyAlignment="1" applyProtection="0">
      <alignment vertical="center"/>
      <protection hidden="0" locked="1"/>
    </xf>
    <xf fontId="0" fillId="0" borderId="1" numFmtId="46" xfId="0" applyNumberFormat="1" applyBorder="1" applyProtection="0">
      <protection hidden="0" locked="1"/>
    </xf>
    <xf fontId="0" fillId="0" borderId="3" numFmtId="46" xfId="0" applyNumberFormat="1" applyBorder="1" applyProtection="0">
      <protection hidden="0" locked="1"/>
    </xf>
    <xf fontId="0" fillId="0" borderId="6" numFmtId="0" xfId="0" applyBorder="1" applyProtection="0">
      <protection hidden="0" locked="1"/>
    </xf>
    <xf fontId="0" fillId="0" borderId="8" numFmtId="0" xfId="0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300" b="0" u="none" strike="noStrike">
                <a:latin typeface="Arial"/>
              </a:rPr>
              <a:t>Elevation Profile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'Elevation Profile'!$F$1</c:f>
              <c:strCache>
                <c:ptCount val="1"/>
                <c:pt idx="0">
                  <c:v>Cumulative Elevation (m)</c:v>
                </c:pt>
              </c:strCache>
            </c:strRef>
          </c:tx>
          <c:spPr bwMode="auto">
            <a:prstGeom prst="rect">
              <a:avLst/>
            </a:prstGeom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3"/>
            <c:spPr bwMode="auto">
              <a:prstGeom prst="rect">
                <a:avLst/>
              </a:prstGeom>
              <a:solidFill>
                <a:srgbClr val="004586"/>
              </a:solidFill>
            </c:spPr>
          </c:marker>
          <c:dLbls>
            <c:leaderLines>
              <c:spPr bwMode="auto">
                <a:prstGeom prst="rect">
                  <a:avLst/>
                </a:prstGeom>
                <a:ln w="28800">
                  <a:solidFill>
                    <a:srgbClr val="000000"/>
                  </a:solidFill>
                </a:ln>
              </c:spPr>
            </c:leaderLine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  <a:endParaRPr/>
              </a:p>
            </c:txPr>
          </c:dLbls>
          <c:cat>
            <c:strRef>
              <c:f>'Elevation Profile'!$A$2:$A$741</c:f>
              <c:strCache>
                <c:ptCount val="740"/>
                <c:pt idx="0">
                  <c:v>0.1 km</c:v>
                </c:pt>
                <c:pt idx="1">
                  <c:v>0.2 km</c:v>
                </c:pt>
                <c:pt idx="2">
                  <c:v>0.3 km</c:v>
                </c:pt>
                <c:pt idx="3">
                  <c:v>0.4 km</c:v>
                </c:pt>
                <c:pt idx="4">
                  <c:v>0.5 km</c:v>
                </c:pt>
                <c:pt idx="5">
                  <c:v>0.6 km</c:v>
                </c:pt>
                <c:pt idx="6">
                  <c:v>0.7 km</c:v>
                </c:pt>
                <c:pt idx="7">
                  <c:v>0.8 km</c:v>
                </c:pt>
                <c:pt idx="8">
                  <c:v>0.9 km</c:v>
                </c:pt>
                <c:pt idx="9">
                  <c:v>1.0 km</c:v>
                </c:pt>
                <c:pt idx="10">
                  <c:v>1.1 km</c:v>
                </c:pt>
                <c:pt idx="11">
                  <c:v>1.2 km</c:v>
                </c:pt>
                <c:pt idx="12">
                  <c:v>1.3 km</c:v>
                </c:pt>
                <c:pt idx="13">
                  <c:v>1.4 km</c:v>
                </c:pt>
                <c:pt idx="14">
                  <c:v>1.5 km</c:v>
                </c:pt>
                <c:pt idx="15">
                  <c:v>1.6 km</c:v>
                </c:pt>
                <c:pt idx="16">
                  <c:v>1.7 km</c:v>
                </c:pt>
                <c:pt idx="17">
                  <c:v>1.8 km</c:v>
                </c:pt>
                <c:pt idx="18">
                  <c:v>1.9 km</c:v>
                </c:pt>
                <c:pt idx="19">
                  <c:v>2.0 km</c:v>
                </c:pt>
                <c:pt idx="20">
                  <c:v>2.1 km</c:v>
                </c:pt>
                <c:pt idx="21">
                  <c:v>2.2 km</c:v>
                </c:pt>
                <c:pt idx="22">
                  <c:v>2.3 km</c:v>
                </c:pt>
                <c:pt idx="23">
                  <c:v>2.4 km</c:v>
                </c:pt>
                <c:pt idx="24">
                  <c:v>2.5 km</c:v>
                </c:pt>
                <c:pt idx="25">
                  <c:v>2.6 km</c:v>
                </c:pt>
                <c:pt idx="26">
                  <c:v>2.7 km</c:v>
                </c:pt>
                <c:pt idx="27">
                  <c:v>2.8 km</c:v>
                </c:pt>
                <c:pt idx="28">
                  <c:v>2.9 km</c:v>
                </c:pt>
                <c:pt idx="29">
                  <c:v>3.0 km</c:v>
                </c:pt>
                <c:pt idx="30">
                  <c:v>3.1 km</c:v>
                </c:pt>
                <c:pt idx="31">
                  <c:v>3.2 km</c:v>
                </c:pt>
                <c:pt idx="32">
                  <c:v>3.3 km</c:v>
                </c:pt>
                <c:pt idx="33">
                  <c:v>3.4 km</c:v>
                </c:pt>
                <c:pt idx="34">
                  <c:v>3.5 km</c:v>
                </c:pt>
                <c:pt idx="35">
                  <c:v>3.6 km</c:v>
                </c:pt>
                <c:pt idx="36">
                  <c:v>3.7 km</c:v>
                </c:pt>
                <c:pt idx="37">
                  <c:v>3.8 km</c:v>
                </c:pt>
                <c:pt idx="38">
                  <c:v>3.9 km</c:v>
                </c:pt>
                <c:pt idx="39">
                  <c:v>4.0 km</c:v>
                </c:pt>
                <c:pt idx="40">
                  <c:v>4.1 km</c:v>
                </c:pt>
                <c:pt idx="41">
                  <c:v>4.2 km</c:v>
                </c:pt>
                <c:pt idx="42">
                  <c:v>4.3 km</c:v>
                </c:pt>
                <c:pt idx="43">
                  <c:v>4.4 km</c:v>
                </c:pt>
                <c:pt idx="44">
                  <c:v>4.5 km</c:v>
                </c:pt>
                <c:pt idx="45">
                  <c:v>4.6 km</c:v>
                </c:pt>
                <c:pt idx="46">
                  <c:v>4.7 km</c:v>
                </c:pt>
                <c:pt idx="47">
                  <c:v>4.8 km</c:v>
                </c:pt>
                <c:pt idx="48">
                  <c:v>4.9 km</c:v>
                </c:pt>
                <c:pt idx="49">
                  <c:v>5.0 km</c:v>
                </c:pt>
                <c:pt idx="50">
                  <c:v>5.1 km</c:v>
                </c:pt>
                <c:pt idx="51">
                  <c:v>5.2 km</c:v>
                </c:pt>
                <c:pt idx="52">
                  <c:v>5.3 km</c:v>
                </c:pt>
                <c:pt idx="53">
                  <c:v>5.4 km</c:v>
                </c:pt>
                <c:pt idx="54">
                  <c:v>5.5 km</c:v>
                </c:pt>
                <c:pt idx="55">
                  <c:v>5.6 km</c:v>
                </c:pt>
                <c:pt idx="56">
                  <c:v>5.7 km</c:v>
                </c:pt>
                <c:pt idx="57">
                  <c:v>5.8 km</c:v>
                </c:pt>
                <c:pt idx="58">
                  <c:v>5.9 km</c:v>
                </c:pt>
                <c:pt idx="59">
                  <c:v>6.0 km</c:v>
                </c:pt>
                <c:pt idx="60">
                  <c:v>6.1 km</c:v>
                </c:pt>
                <c:pt idx="61">
                  <c:v>6.2 km</c:v>
                </c:pt>
                <c:pt idx="62">
                  <c:v>6.3 km</c:v>
                </c:pt>
                <c:pt idx="63">
                  <c:v>6.4 km</c:v>
                </c:pt>
                <c:pt idx="64">
                  <c:v>6.5 km</c:v>
                </c:pt>
                <c:pt idx="65">
                  <c:v>6.6 km</c:v>
                </c:pt>
                <c:pt idx="66">
                  <c:v>6.7 km</c:v>
                </c:pt>
                <c:pt idx="67">
                  <c:v>6.8 km</c:v>
                </c:pt>
                <c:pt idx="68">
                  <c:v>6.9 km</c:v>
                </c:pt>
                <c:pt idx="69">
                  <c:v>7.0 km</c:v>
                </c:pt>
                <c:pt idx="70">
                  <c:v>7.1 km</c:v>
                </c:pt>
                <c:pt idx="71">
                  <c:v>7.2 km</c:v>
                </c:pt>
                <c:pt idx="72">
                  <c:v>7.3 km</c:v>
                </c:pt>
                <c:pt idx="73">
                  <c:v>7.4 km</c:v>
                </c:pt>
                <c:pt idx="74">
                  <c:v>7.5 km</c:v>
                </c:pt>
                <c:pt idx="75">
                  <c:v>7.6 km</c:v>
                </c:pt>
                <c:pt idx="76">
                  <c:v>7.7 km</c:v>
                </c:pt>
                <c:pt idx="77">
                  <c:v>7.8 km</c:v>
                </c:pt>
                <c:pt idx="78">
                  <c:v>7.9 km</c:v>
                </c:pt>
                <c:pt idx="79">
                  <c:v>8.0 km</c:v>
                </c:pt>
                <c:pt idx="80">
                  <c:v>8.1 km</c:v>
                </c:pt>
                <c:pt idx="81">
                  <c:v>8.2 km</c:v>
                </c:pt>
                <c:pt idx="82">
                  <c:v>8.3 km</c:v>
                </c:pt>
                <c:pt idx="83">
                  <c:v>8.4 km</c:v>
                </c:pt>
                <c:pt idx="84">
                  <c:v>8.5 km</c:v>
                </c:pt>
                <c:pt idx="85">
                  <c:v>8.6 km</c:v>
                </c:pt>
                <c:pt idx="86">
                  <c:v>8.7 km</c:v>
                </c:pt>
                <c:pt idx="87">
                  <c:v>8.8 km</c:v>
                </c:pt>
                <c:pt idx="88">
                  <c:v>8.9 km</c:v>
                </c:pt>
                <c:pt idx="89">
                  <c:v>9.0 km</c:v>
                </c:pt>
                <c:pt idx="90">
                  <c:v>9.1 km</c:v>
                </c:pt>
                <c:pt idx="91">
                  <c:v>9.2 km</c:v>
                </c:pt>
                <c:pt idx="92">
                  <c:v>9.3 km</c:v>
                </c:pt>
                <c:pt idx="93">
                  <c:v>9.4 km</c:v>
                </c:pt>
                <c:pt idx="94">
                  <c:v>9.5 km</c:v>
                </c:pt>
                <c:pt idx="95">
                  <c:v>9.6 km</c:v>
                </c:pt>
                <c:pt idx="96">
                  <c:v>9.7 km</c:v>
                </c:pt>
                <c:pt idx="97">
                  <c:v>9.8 km</c:v>
                </c:pt>
                <c:pt idx="98">
                  <c:v>9.9 km</c:v>
                </c:pt>
                <c:pt idx="99">
                  <c:v>10.0 km</c:v>
                </c:pt>
                <c:pt idx="100">
                  <c:v>10.1 km</c:v>
                </c:pt>
                <c:pt idx="101">
                  <c:v>10.2 km</c:v>
                </c:pt>
                <c:pt idx="102">
                  <c:v>10.3 km</c:v>
                </c:pt>
                <c:pt idx="103">
                  <c:v>10.4 km</c:v>
                </c:pt>
                <c:pt idx="104">
                  <c:v>10.5 km</c:v>
                </c:pt>
                <c:pt idx="105">
                  <c:v>10.6 km</c:v>
                </c:pt>
                <c:pt idx="106">
                  <c:v>10.7 km</c:v>
                </c:pt>
                <c:pt idx="107">
                  <c:v>10.8 km</c:v>
                </c:pt>
                <c:pt idx="108">
                  <c:v>10.9 km</c:v>
                </c:pt>
                <c:pt idx="109">
                  <c:v>11.0 km</c:v>
                </c:pt>
                <c:pt idx="110">
                  <c:v>11.1 km</c:v>
                </c:pt>
                <c:pt idx="111">
                  <c:v>11.2 km</c:v>
                </c:pt>
                <c:pt idx="112">
                  <c:v>11.3 km</c:v>
                </c:pt>
                <c:pt idx="113">
                  <c:v>11.4 km</c:v>
                </c:pt>
                <c:pt idx="114">
                  <c:v>11.5 km</c:v>
                </c:pt>
                <c:pt idx="115">
                  <c:v>11.6 km</c:v>
                </c:pt>
                <c:pt idx="116">
                  <c:v>11.7 km</c:v>
                </c:pt>
                <c:pt idx="117">
                  <c:v>11.8 km</c:v>
                </c:pt>
                <c:pt idx="118">
                  <c:v>11.9 km</c:v>
                </c:pt>
                <c:pt idx="119">
                  <c:v>12.0 km</c:v>
                </c:pt>
                <c:pt idx="120">
                  <c:v>12.1 km</c:v>
                </c:pt>
                <c:pt idx="121">
                  <c:v>12.2 km</c:v>
                </c:pt>
                <c:pt idx="122">
                  <c:v>12.3 km</c:v>
                </c:pt>
                <c:pt idx="123">
                  <c:v>12.4 km</c:v>
                </c:pt>
                <c:pt idx="124">
                  <c:v>12.5 km</c:v>
                </c:pt>
                <c:pt idx="125">
                  <c:v>12.6 km</c:v>
                </c:pt>
                <c:pt idx="126">
                  <c:v>12.7 km</c:v>
                </c:pt>
                <c:pt idx="127">
                  <c:v>12.8 km</c:v>
                </c:pt>
                <c:pt idx="128">
                  <c:v>12.9 km</c:v>
                </c:pt>
                <c:pt idx="129">
                  <c:v>13.0 km</c:v>
                </c:pt>
                <c:pt idx="130">
                  <c:v>13.1 km</c:v>
                </c:pt>
                <c:pt idx="131">
                  <c:v>13.2 km</c:v>
                </c:pt>
                <c:pt idx="132">
                  <c:v>13.3 km</c:v>
                </c:pt>
                <c:pt idx="133">
                  <c:v>13.4 km</c:v>
                </c:pt>
                <c:pt idx="134">
                  <c:v>13.5 km</c:v>
                </c:pt>
                <c:pt idx="135">
                  <c:v>13.6 km</c:v>
                </c:pt>
                <c:pt idx="136">
                  <c:v>13.7 km</c:v>
                </c:pt>
                <c:pt idx="137">
                  <c:v>13.8 km</c:v>
                </c:pt>
                <c:pt idx="138">
                  <c:v>13.9 km</c:v>
                </c:pt>
                <c:pt idx="139">
                  <c:v>14.0 km</c:v>
                </c:pt>
                <c:pt idx="140">
                  <c:v>14.1 km</c:v>
                </c:pt>
                <c:pt idx="141">
                  <c:v>14.2 km</c:v>
                </c:pt>
                <c:pt idx="142">
                  <c:v>14.3 km</c:v>
                </c:pt>
                <c:pt idx="143">
                  <c:v>14.4 km</c:v>
                </c:pt>
                <c:pt idx="144">
                  <c:v>14.5 km</c:v>
                </c:pt>
                <c:pt idx="145">
                  <c:v>14.6 km</c:v>
                </c:pt>
                <c:pt idx="146">
                  <c:v>14.7 km</c:v>
                </c:pt>
                <c:pt idx="147">
                  <c:v>14.8 km</c:v>
                </c:pt>
                <c:pt idx="148">
                  <c:v>14.9 km</c:v>
                </c:pt>
                <c:pt idx="149">
                  <c:v>15.0 km</c:v>
                </c:pt>
                <c:pt idx="150">
                  <c:v>15.1 km</c:v>
                </c:pt>
                <c:pt idx="151">
                  <c:v>15.2 km</c:v>
                </c:pt>
                <c:pt idx="152">
                  <c:v>15.3 km</c:v>
                </c:pt>
                <c:pt idx="153">
                  <c:v>15.4 km</c:v>
                </c:pt>
                <c:pt idx="154">
                  <c:v>15.5 km</c:v>
                </c:pt>
                <c:pt idx="155">
                  <c:v>15.6 km</c:v>
                </c:pt>
                <c:pt idx="156">
                  <c:v>15.7 km</c:v>
                </c:pt>
                <c:pt idx="157">
                  <c:v>15.8 km</c:v>
                </c:pt>
                <c:pt idx="158">
                  <c:v>15.9 km</c:v>
                </c:pt>
                <c:pt idx="159">
                  <c:v>16.0 km</c:v>
                </c:pt>
                <c:pt idx="160">
                  <c:v>16.1 km</c:v>
                </c:pt>
                <c:pt idx="161">
                  <c:v>16.2 km</c:v>
                </c:pt>
                <c:pt idx="162">
                  <c:v>16.3 km</c:v>
                </c:pt>
                <c:pt idx="163">
                  <c:v>16.4 km</c:v>
                </c:pt>
                <c:pt idx="164">
                  <c:v>16.5 km</c:v>
                </c:pt>
                <c:pt idx="165">
                  <c:v>16.6 km</c:v>
                </c:pt>
                <c:pt idx="166">
                  <c:v>16.7 km</c:v>
                </c:pt>
                <c:pt idx="167">
                  <c:v>16.8 km</c:v>
                </c:pt>
                <c:pt idx="168">
                  <c:v>16.9 km</c:v>
                </c:pt>
                <c:pt idx="169">
                  <c:v>17.0 km</c:v>
                </c:pt>
                <c:pt idx="170">
                  <c:v>17.1 km</c:v>
                </c:pt>
                <c:pt idx="171">
                  <c:v>17.2 km</c:v>
                </c:pt>
                <c:pt idx="172">
                  <c:v>17.3 km</c:v>
                </c:pt>
                <c:pt idx="173">
                  <c:v>17.4 km</c:v>
                </c:pt>
                <c:pt idx="174">
                  <c:v>17.5 km</c:v>
                </c:pt>
                <c:pt idx="175">
                  <c:v>17.6 km</c:v>
                </c:pt>
                <c:pt idx="176">
                  <c:v>17.7 km</c:v>
                </c:pt>
                <c:pt idx="177">
                  <c:v>17.8 km</c:v>
                </c:pt>
                <c:pt idx="178">
                  <c:v>17.9 km</c:v>
                </c:pt>
                <c:pt idx="179">
                  <c:v>18.0 km</c:v>
                </c:pt>
                <c:pt idx="180">
                  <c:v>18.1 km</c:v>
                </c:pt>
                <c:pt idx="181">
                  <c:v>18.2 km</c:v>
                </c:pt>
                <c:pt idx="182">
                  <c:v>18.3 km</c:v>
                </c:pt>
                <c:pt idx="183">
                  <c:v>18.4 km</c:v>
                </c:pt>
                <c:pt idx="184">
                  <c:v>18.5 km</c:v>
                </c:pt>
                <c:pt idx="185">
                  <c:v>18.6 km</c:v>
                </c:pt>
                <c:pt idx="186">
                  <c:v>18.7 km</c:v>
                </c:pt>
                <c:pt idx="187">
                  <c:v>18.8 km</c:v>
                </c:pt>
                <c:pt idx="188">
                  <c:v>18.9 km</c:v>
                </c:pt>
                <c:pt idx="189">
                  <c:v>19.0 km</c:v>
                </c:pt>
                <c:pt idx="190">
                  <c:v>19.1 km</c:v>
                </c:pt>
                <c:pt idx="191">
                  <c:v>19.2 km</c:v>
                </c:pt>
                <c:pt idx="192">
                  <c:v>19.3 km</c:v>
                </c:pt>
                <c:pt idx="193">
                  <c:v>19.4 km</c:v>
                </c:pt>
                <c:pt idx="194">
                  <c:v>19.5 km</c:v>
                </c:pt>
                <c:pt idx="195">
                  <c:v>19.6 km</c:v>
                </c:pt>
                <c:pt idx="196">
                  <c:v>19.7 km</c:v>
                </c:pt>
                <c:pt idx="197">
                  <c:v>19.8 km</c:v>
                </c:pt>
                <c:pt idx="198">
                  <c:v>19.9 km</c:v>
                </c:pt>
                <c:pt idx="199">
                  <c:v>20.0 km</c:v>
                </c:pt>
                <c:pt idx="200">
                  <c:v>20.1 km</c:v>
                </c:pt>
                <c:pt idx="201">
                  <c:v>20.2 km</c:v>
                </c:pt>
                <c:pt idx="202">
                  <c:v>20.3 km</c:v>
                </c:pt>
                <c:pt idx="203">
                  <c:v>20.4 km</c:v>
                </c:pt>
                <c:pt idx="204">
                  <c:v>20.5 km</c:v>
                </c:pt>
                <c:pt idx="205">
                  <c:v>20.6 km</c:v>
                </c:pt>
                <c:pt idx="206">
                  <c:v>20.7 km</c:v>
                </c:pt>
                <c:pt idx="207">
                  <c:v>20.8 km</c:v>
                </c:pt>
                <c:pt idx="208">
                  <c:v>20.9 km</c:v>
                </c:pt>
                <c:pt idx="209">
                  <c:v>21.0 km</c:v>
                </c:pt>
                <c:pt idx="210">
                  <c:v>21.1 km</c:v>
                </c:pt>
                <c:pt idx="211">
                  <c:v>21.2 km</c:v>
                </c:pt>
                <c:pt idx="212">
                  <c:v>21.3 km</c:v>
                </c:pt>
                <c:pt idx="213">
                  <c:v>21.4 km</c:v>
                </c:pt>
                <c:pt idx="214">
                  <c:v>21.5 km</c:v>
                </c:pt>
                <c:pt idx="215">
                  <c:v>21.6 km</c:v>
                </c:pt>
                <c:pt idx="216">
                  <c:v>21.7 km</c:v>
                </c:pt>
                <c:pt idx="217">
                  <c:v>21.8 km</c:v>
                </c:pt>
                <c:pt idx="218">
                  <c:v>21.9 km</c:v>
                </c:pt>
                <c:pt idx="219">
                  <c:v>22.0 km</c:v>
                </c:pt>
                <c:pt idx="220">
                  <c:v>22.1 km</c:v>
                </c:pt>
                <c:pt idx="221">
                  <c:v>22.2 km</c:v>
                </c:pt>
                <c:pt idx="222">
                  <c:v>22.3 km</c:v>
                </c:pt>
                <c:pt idx="223">
                  <c:v>22.4 km</c:v>
                </c:pt>
                <c:pt idx="224">
                  <c:v>22.5 km</c:v>
                </c:pt>
                <c:pt idx="225">
                  <c:v>22.6 km</c:v>
                </c:pt>
                <c:pt idx="226">
                  <c:v>22.7 km</c:v>
                </c:pt>
                <c:pt idx="227">
                  <c:v>22.8 km</c:v>
                </c:pt>
                <c:pt idx="228">
                  <c:v>22.9 km</c:v>
                </c:pt>
                <c:pt idx="229">
                  <c:v>23.0 km</c:v>
                </c:pt>
                <c:pt idx="230">
                  <c:v>23.1 km</c:v>
                </c:pt>
                <c:pt idx="231">
                  <c:v>23.2 km</c:v>
                </c:pt>
                <c:pt idx="232">
                  <c:v>23.3 km</c:v>
                </c:pt>
                <c:pt idx="233">
                  <c:v>23.4 km</c:v>
                </c:pt>
                <c:pt idx="234">
                  <c:v>23.5 km</c:v>
                </c:pt>
                <c:pt idx="235">
                  <c:v>23.6 km</c:v>
                </c:pt>
                <c:pt idx="236">
                  <c:v>23.7 km</c:v>
                </c:pt>
                <c:pt idx="237">
                  <c:v>23.8 km</c:v>
                </c:pt>
                <c:pt idx="238">
                  <c:v>23.9 km</c:v>
                </c:pt>
                <c:pt idx="239">
                  <c:v>24.0 km</c:v>
                </c:pt>
                <c:pt idx="240">
                  <c:v>24.1 km</c:v>
                </c:pt>
                <c:pt idx="241">
                  <c:v>24.2 km</c:v>
                </c:pt>
                <c:pt idx="242">
                  <c:v>24.3 km</c:v>
                </c:pt>
                <c:pt idx="243">
                  <c:v>24.4 km</c:v>
                </c:pt>
                <c:pt idx="244">
                  <c:v>24.5 km</c:v>
                </c:pt>
                <c:pt idx="245">
                  <c:v>24.6 km</c:v>
                </c:pt>
                <c:pt idx="246">
                  <c:v>24.7 km</c:v>
                </c:pt>
                <c:pt idx="247">
                  <c:v>24.8 km</c:v>
                </c:pt>
                <c:pt idx="248">
                  <c:v>24.9 km</c:v>
                </c:pt>
                <c:pt idx="249">
                  <c:v>25.0 km</c:v>
                </c:pt>
                <c:pt idx="250">
                  <c:v>25.1 km</c:v>
                </c:pt>
                <c:pt idx="251">
                  <c:v>25.2 km</c:v>
                </c:pt>
                <c:pt idx="252">
                  <c:v>25.3 km</c:v>
                </c:pt>
                <c:pt idx="253">
                  <c:v>25.4 km</c:v>
                </c:pt>
                <c:pt idx="254">
                  <c:v>25.5 km</c:v>
                </c:pt>
                <c:pt idx="255">
                  <c:v>25.6 km</c:v>
                </c:pt>
                <c:pt idx="256">
                  <c:v>25.7 km</c:v>
                </c:pt>
                <c:pt idx="257">
                  <c:v>25.8 km</c:v>
                </c:pt>
                <c:pt idx="258">
                  <c:v>25.9 km</c:v>
                </c:pt>
                <c:pt idx="259">
                  <c:v>26.0 km</c:v>
                </c:pt>
                <c:pt idx="260">
                  <c:v>26.1 km</c:v>
                </c:pt>
                <c:pt idx="261">
                  <c:v>26.2 km</c:v>
                </c:pt>
                <c:pt idx="262">
                  <c:v>26.3 km</c:v>
                </c:pt>
                <c:pt idx="263">
                  <c:v>26.4 km</c:v>
                </c:pt>
                <c:pt idx="264">
                  <c:v>26.5 km</c:v>
                </c:pt>
                <c:pt idx="265">
                  <c:v>26.6 km</c:v>
                </c:pt>
                <c:pt idx="266">
                  <c:v>26.7 km</c:v>
                </c:pt>
                <c:pt idx="267">
                  <c:v>26.8 km</c:v>
                </c:pt>
                <c:pt idx="268">
                  <c:v>26.9 km</c:v>
                </c:pt>
                <c:pt idx="269">
                  <c:v>27.0 km</c:v>
                </c:pt>
                <c:pt idx="270">
                  <c:v>27.1 km</c:v>
                </c:pt>
                <c:pt idx="271">
                  <c:v>27.2 km</c:v>
                </c:pt>
                <c:pt idx="272">
                  <c:v>27.3 km</c:v>
                </c:pt>
                <c:pt idx="273">
                  <c:v>27.4 km</c:v>
                </c:pt>
                <c:pt idx="274">
                  <c:v>27.5 km</c:v>
                </c:pt>
                <c:pt idx="275">
                  <c:v>27.6 km</c:v>
                </c:pt>
                <c:pt idx="276">
                  <c:v>27.7 km</c:v>
                </c:pt>
                <c:pt idx="277">
                  <c:v>27.8 km</c:v>
                </c:pt>
                <c:pt idx="278">
                  <c:v>27.9 km</c:v>
                </c:pt>
                <c:pt idx="279">
                  <c:v>28.0 km</c:v>
                </c:pt>
                <c:pt idx="280">
                  <c:v>28.1 km</c:v>
                </c:pt>
                <c:pt idx="281">
                  <c:v>28.2 km</c:v>
                </c:pt>
                <c:pt idx="282">
                  <c:v>28.3 km</c:v>
                </c:pt>
                <c:pt idx="283">
                  <c:v>28.4 km</c:v>
                </c:pt>
                <c:pt idx="284">
                  <c:v>28.5 km</c:v>
                </c:pt>
                <c:pt idx="285">
                  <c:v>28.6 km</c:v>
                </c:pt>
                <c:pt idx="286">
                  <c:v>28.7 km</c:v>
                </c:pt>
                <c:pt idx="287">
                  <c:v>28.8 km</c:v>
                </c:pt>
                <c:pt idx="288">
                  <c:v>28.9 km</c:v>
                </c:pt>
                <c:pt idx="289">
                  <c:v>29.0 km</c:v>
                </c:pt>
                <c:pt idx="290">
                  <c:v>29.1 km</c:v>
                </c:pt>
                <c:pt idx="291">
                  <c:v>29.2 km</c:v>
                </c:pt>
                <c:pt idx="292">
                  <c:v>29.3 km</c:v>
                </c:pt>
                <c:pt idx="293">
                  <c:v>29.4 km</c:v>
                </c:pt>
                <c:pt idx="294">
                  <c:v>29.5 km</c:v>
                </c:pt>
                <c:pt idx="295">
                  <c:v>29.6 km</c:v>
                </c:pt>
                <c:pt idx="296">
                  <c:v>29.7 km</c:v>
                </c:pt>
                <c:pt idx="297">
                  <c:v>29.8 km</c:v>
                </c:pt>
                <c:pt idx="298">
                  <c:v>29.9 km</c:v>
                </c:pt>
                <c:pt idx="299">
                  <c:v>30.0 km</c:v>
                </c:pt>
                <c:pt idx="300">
                  <c:v>30.1 km</c:v>
                </c:pt>
                <c:pt idx="301">
                  <c:v>30.2 km</c:v>
                </c:pt>
                <c:pt idx="302">
                  <c:v>30.3 km</c:v>
                </c:pt>
                <c:pt idx="303">
                  <c:v>30.4 km</c:v>
                </c:pt>
                <c:pt idx="304">
                  <c:v>30.5 km</c:v>
                </c:pt>
                <c:pt idx="305">
                  <c:v>30.6 km</c:v>
                </c:pt>
                <c:pt idx="306">
                  <c:v>30.7 km</c:v>
                </c:pt>
                <c:pt idx="307">
                  <c:v>30.8 km</c:v>
                </c:pt>
                <c:pt idx="308">
                  <c:v>30.9 km</c:v>
                </c:pt>
                <c:pt idx="309">
                  <c:v>31.0 km</c:v>
                </c:pt>
                <c:pt idx="310">
                  <c:v>31.1 km</c:v>
                </c:pt>
                <c:pt idx="311">
                  <c:v>31.2 km</c:v>
                </c:pt>
                <c:pt idx="312">
                  <c:v>31.3 km</c:v>
                </c:pt>
                <c:pt idx="313">
                  <c:v>31.4 km</c:v>
                </c:pt>
                <c:pt idx="314">
                  <c:v>31.5 km</c:v>
                </c:pt>
                <c:pt idx="315">
                  <c:v>31.6 km</c:v>
                </c:pt>
                <c:pt idx="316">
                  <c:v>31.7 km</c:v>
                </c:pt>
                <c:pt idx="317">
                  <c:v>31.8 km</c:v>
                </c:pt>
                <c:pt idx="318">
                  <c:v>31.9 km</c:v>
                </c:pt>
                <c:pt idx="319">
                  <c:v>32.0 km</c:v>
                </c:pt>
                <c:pt idx="320">
                  <c:v>32.1 km</c:v>
                </c:pt>
                <c:pt idx="321">
                  <c:v>32.2 km</c:v>
                </c:pt>
                <c:pt idx="322">
                  <c:v>32.3 km</c:v>
                </c:pt>
                <c:pt idx="323">
                  <c:v>32.4 km</c:v>
                </c:pt>
                <c:pt idx="324">
                  <c:v>32.5 km</c:v>
                </c:pt>
                <c:pt idx="325">
                  <c:v>32.6 km</c:v>
                </c:pt>
                <c:pt idx="326">
                  <c:v>32.7 km</c:v>
                </c:pt>
                <c:pt idx="327">
                  <c:v>32.8 km</c:v>
                </c:pt>
                <c:pt idx="328">
                  <c:v>32.9 km</c:v>
                </c:pt>
                <c:pt idx="329">
                  <c:v>33.0 km</c:v>
                </c:pt>
                <c:pt idx="330">
                  <c:v>33.1 km</c:v>
                </c:pt>
                <c:pt idx="331">
                  <c:v>33.2 km</c:v>
                </c:pt>
                <c:pt idx="332">
                  <c:v>33.3 km</c:v>
                </c:pt>
                <c:pt idx="333">
                  <c:v>33.4 km</c:v>
                </c:pt>
                <c:pt idx="334">
                  <c:v>33.5 km</c:v>
                </c:pt>
                <c:pt idx="335">
                  <c:v>33.6 km</c:v>
                </c:pt>
                <c:pt idx="336">
                  <c:v>33.7 km</c:v>
                </c:pt>
                <c:pt idx="337">
                  <c:v>33.8 km</c:v>
                </c:pt>
                <c:pt idx="338">
                  <c:v>33.9 km</c:v>
                </c:pt>
                <c:pt idx="339">
                  <c:v>34.0 km</c:v>
                </c:pt>
                <c:pt idx="340">
                  <c:v>34.1 km</c:v>
                </c:pt>
                <c:pt idx="341">
                  <c:v>34.2 km</c:v>
                </c:pt>
                <c:pt idx="342">
                  <c:v>34.3 km</c:v>
                </c:pt>
                <c:pt idx="343">
                  <c:v>34.4 km</c:v>
                </c:pt>
                <c:pt idx="344">
                  <c:v>34.5 km</c:v>
                </c:pt>
                <c:pt idx="345">
                  <c:v>34.6 km</c:v>
                </c:pt>
                <c:pt idx="346">
                  <c:v>34.7 km</c:v>
                </c:pt>
                <c:pt idx="347">
                  <c:v>34.8 km</c:v>
                </c:pt>
                <c:pt idx="348">
                  <c:v>34.9 km</c:v>
                </c:pt>
                <c:pt idx="349">
                  <c:v>35.0 km</c:v>
                </c:pt>
                <c:pt idx="350">
                  <c:v>35.1 km</c:v>
                </c:pt>
                <c:pt idx="351">
                  <c:v>35.2 km</c:v>
                </c:pt>
                <c:pt idx="352">
                  <c:v>35.3 km</c:v>
                </c:pt>
                <c:pt idx="353">
                  <c:v>35.4 km</c:v>
                </c:pt>
                <c:pt idx="354">
                  <c:v>35.5 km</c:v>
                </c:pt>
                <c:pt idx="355">
                  <c:v>35.6 km</c:v>
                </c:pt>
                <c:pt idx="356">
                  <c:v>35.7 km</c:v>
                </c:pt>
                <c:pt idx="357">
                  <c:v>35.8 km</c:v>
                </c:pt>
                <c:pt idx="358">
                  <c:v>35.9 km</c:v>
                </c:pt>
                <c:pt idx="359">
                  <c:v>36.0 km</c:v>
                </c:pt>
                <c:pt idx="360">
                  <c:v>36.1 km</c:v>
                </c:pt>
                <c:pt idx="361">
                  <c:v>36.2 km</c:v>
                </c:pt>
                <c:pt idx="362">
                  <c:v>36.3 km</c:v>
                </c:pt>
                <c:pt idx="363">
                  <c:v>36.4 km</c:v>
                </c:pt>
                <c:pt idx="364">
                  <c:v>36.5 km</c:v>
                </c:pt>
                <c:pt idx="365">
                  <c:v>36.6 km</c:v>
                </c:pt>
                <c:pt idx="366">
                  <c:v>36.7 km</c:v>
                </c:pt>
                <c:pt idx="367">
                  <c:v>36.8 km</c:v>
                </c:pt>
                <c:pt idx="368">
                  <c:v>36.9 km</c:v>
                </c:pt>
                <c:pt idx="369">
                  <c:v>37.0 km</c:v>
                </c:pt>
                <c:pt idx="370">
                  <c:v>37.1 km</c:v>
                </c:pt>
                <c:pt idx="371">
                  <c:v>37.2 km</c:v>
                </c:pt>
                <c:pt idx="372">
                  <c:v>37.3 km</c:v>
                </c:pt>
                <c:pt idx="373">
                  <c:v>37.4 km</c:v>
                </c:pt>
                <c:pt idx="374">
                  <c:v>37.5 km</c:v>
                </c:pt>
                <c:pt idx="375">
                  <c:v>37.6 km</c:v>
                </c:pt>
                <c:pt idx="376">
                  <c:v>37.7 km</c:v>
                </c:pt>
                <c:pt idx="377">
                  <c:v>37.8 km</c:v>
                </c:pt>
                <c:pt idx="378">
                  <c:v>37.9 km</c:v>
                </c:pt>
                <c:pt idx="379">
                  <c:v>38.0 km</c:v>
                </c:pt>
                <c:pt idx="380">
                  <c:v>38.1 km</c:v>
                </c:pt>
                <c:pt idx="381">
                  <c:v>38.2 km</c:v>
                </c:pt>
                <c:pt idx="382">
                  <c:v>38.3 km</c:v>
                </c:pt>
                <c:pt idx="383">
                  <c:v>38.4 km</c:v>
                </c:pt>
                <c:pt idx="384">
                  <c:v>38.5 km</c:v>
                </c:pt>
                <c:pt idx="385">
                  <c:v>38.6 km</c:v>
                </c:pt>
                <c:pt idx="386">
                  <c:v>38.7 km</c:v>
                </c:pt>
                <c:pt idx="387">
                  <c:v>38.8 km</c:v>
                </c:pt>
                <c:pt idx="388">
                  <c:v>38.9 km</c:v>
                </c:pt>
                <c:pt idx="389">
                  <c:v>39.0 km</c:v>
                </c:pt>
                <c:pt idx="390">
                  <c:v>39.1 km</c:v>
                </c:pt>
                <c:pt idx="391">
                  <c:v>39.2 km</c:v>
                </c:pt>
                <c:pt idx="392">
                  <c:v>39.3 km</c:v>
                </c:pt>
                <c:pt idx="393">
                  <c:v>39.4 km</c:v>
                </c:pt>
                <c:pt idx="394">
                  <c:v>39.5 km</c:v>
                </c:pt>
                <c:pt idx="395">
                  <c:v>39.6 km</c:v>
                </c:pt>
                <c:pt idx="396">
                  <c:v>39.7 km</c:v>
                </c:pt>
                <c:pt idx="397">
                  <c:v>39.8 km</c:v>
                </c:pt>
                <c:pt idx="398">
                  <c:v>39.9 km</c:v>
                </c:pt>
                <c:pt idx="399">
                  <c:v>40.0 km</c:v>
                </c:pt>
                <c:pt idx="400">
                  <c:v>40.1 km</c:v>
                </c:pt>
                <c:pt idx="401">
                  <c:v>40.2 km</c:v>
                </c:pt>
                <c:pt idx="402">
                  <c:v>40.3 km</c:v>
                </c:pt>
                <c:pt idx="403">
                  <c:v>40.4 km</c:v>
                </c:pt>
                <c:pt idx="404">
                  <c:v>40.5 km</c:v>
                </c:pt>
                <c:pt idx="405">
                  <c:v>40.6 km</c:v>
                </c:pt>
                <c:pt idx="406">
                  <c:v>40.7 km</c:v>
                </c:pt>
                <c:pt idx="407">
                  <c:v>40.8 km</c:v>
                </c:pt>
                <c:pt idx="408">
                  <c:v>40.9 km</c:v>
                </c:pt>
                <c:pt idx="409">
                  <c:v>41.0 km</c:v>
                </c:pt>
                <c:pt idx="410">
                  <c:v>41.1 km</c:v>
                </c:pt>
                <c:pt idx="411">
                  <c:v>41.2 km</c:v>
                </c:pt>
                <c:pt idx="412">
                  <c:v>41.3 km</c:v>
                </c:pt>
                <c:pt idx="413">
                  <c:v>41.4 km</c:v>
                </c:pt>
                <c:pt idx="414">
                  <c:v>41.5 km</c:v>
                </c:pt>
                <c:pt idx="415">
                  <c:v>41.6 km</c:v>
                </c:pt>
                <c:pt idx="416">
                  <c:v>41.7 km</c:v>
                </c:pt>
                <c:pt idx="417">
                  <c:v>41.8 km</c:v>
                </c:pt>
                <c:pt idx="418">
                  <c:v>41.9 km</c:v>
                </c:pt>
                <c:pt idx="419">
                  <c:v>42.0 km</c:v>
                </c:pt>
                <c:pt idx="420">
                  <c:v>42.1 km</c:v>
                </c:pt>
                <c:pt idx="421">
                  <c:v>42.2 km</c:v>
                </c:pt>
                <c:pt idx="422">
                  <c:v>42.3 km</c:v>
                </c:pt>
                <c:pt idx="423">
                  <c:v>42.4 km</c:v>
                </c:pt>
                <c:pt idx="424">
                  <c:v>42.5 km</c:v>
                </c:pt>
                <c:pt idx="425">
                  <c:v>42.6 km</c:v>
                </c:pt>
                <c:pt idx="426">
                  <c:v>42.7 km</c:v>
                </c:pt>
                <c:pt idx="427">
                  <c:v>42.8 km</c:v>
                </c:pt>
                <c:pt idx="428">
                  <c:v>42.9 km</c:v>
                </c:pt>
                <c:pt idx="429">
                  <c:v>43.0 km</c:v>
                </c:pt>
                <c:pt idx="430">
                  <c:v>43.1 km</c:v>
                </c:pt>
                <c:pt idx="431">
                  <c:v>43.2 km</c:v>
                </c:pt>
                <c:pt idx="432">
                  <c:v>43.3 km</c:v>
                </c:pt>
                <c:pt idx="433">
                  <c:v>43.4 km</c:v>
                </c:pt>
                <c:pt idx="434">
                  <c:v>43.5 km</c:v>
                </c:pt>
                <c:pt idx="435">
                  <c:v>43.6 km</c:v>
                </c:pt>
                <c:pt idx="436">
                  <c:v>43.7 km</c:v>
                </c:pt>
                <c:pt idx="437">
                  <c:v>43.8 km</c:v>
                </c:pt>
                <c:pt idx="438">
                  <c:v>43.9 km</c:v>
                </c:pt>
                <c:pt idx="439">
                  <c:v>44.0 km</c:v>
                </c:pt>
                <c:pt idx="440">
                  <c:v>44.1 km</c:v>
                </c:pt>
                <c:pt idx="441">
                  <c:v>44.2 km</c:v>
                </c:pt>
                <c:pt idx="442">
                  <c:v>44.3 km</c:v>
                </c:pt>
                <c:pt idx="443">
                  <c:v>44.4 km</c:v>
                </c:pt>
                <c:pt idx="444">
                  <c:v>44.5 km</c:v>
                </c:pt>
                <c:pt idx="445">
                  <c:v>44.6 km</c:v>
                </c:pt>
                <c:pt idx="446">
                  <c:v>44.7 km</c:v>
                </c:pt>
                <c:pt idx="447">
                  <c:v>44.8 km</c:v>
                </c:pt>
                <c:pt idx="448">
                  <c:v>44.9 km</c:v>
                </c:pt>
                <c:pt idx="449">
                  <c:v>45.0 km</c:v>
                </c:pt>
                <c:pt idx="450">
                  <c:v>45.1 km</c:v>
                </c:pt>
                <c:pt idx="451">
                  <c:v>45.2 km</c:v>
                </c:pt>
                <c:pt idx="452">
                  <c:v>45.3 km</c:v>
                </c:pt>
                <c:pt idx="453">
                  <c:v>45.4 km</c:v>
                </c:pt>
                <c:pt idx="454">
                  <c:v>45.5 km</c:v>
                </c:pt>
                <c:pt idx="455">
                  <c:v>45.6 km</c:v>
                </c:pt>
                <c:pt idx="456">
                  <c:v>45.7 km</c:v>
                </c:pt>
                <c:pt idx="457">
                  <c:v>45.8 km</c:v>
                </c:pt>
                <c:pt idx="458">
                  <c:v>45.9 km</c:v>
                </c:pt>
                <c:pt idx="459">
                  <c:v>46.0 km</c:v>
                </c:pt>
                <c:pt idx="460">
                  <c:v>46.1 km</c:v>
                </c:pt>
                <c:pt idx="461">
                  <c:v>46.2 km</c:v>
                </c:pt>
                <c:pt idx="462">
                  <c:v>46.3 km</c:v>
                </c:pt>
                <c:pt idx="463">
                  <c:v>46.4 km</c:v>
                </c:pt>
                <c:pt idx="464">
                  <c:v>46.5 km</c:v>
                </c:pt>
                <c:pt idx="465">
                  <c:v>46.6 km</c:v>
                </c:pt>
                <c:pt idx="466">
                  <c:v>46.7 km</c:v>
                </c:pt>
                <c:pt idx="467">
                  <c:v>46.8 km</c:v>
                </c:pt>
                <c:pt idx="468">
                  <c:v>46.9 km</c:v>
                </c:pt>
                <c:pt idx="469">
                  <c:v>47.0 km</c:v>
                </c:pt>
                <c:pt idx="470">
                  <c:v>47.1 km</c:v>
                </c:pt>
                <c:pt idx="471">
                  <c:v>47.2 km</c:v>
                </c:pt>
                <c:pt idx="472">
                  <c:v>47.3 km</c:v>
                </c:pt>
                <c:pt idx="473">
                  <c:v>47.4 km</c:v>
                </c:pt>
                <c:pt idx="474">
                  <c:v>47.5 km</c:v>
                </c:pt>
                <c:pt idx="475">
                  <c:v>47.6 km</c:v>
                </c:pt>
                <c:pt idx="476">
                  <c:v>47.7 km</c:v>
                </c:pt>
                <c:pt idx="477">
                  <c:v>47.8 km</c:v>
                </c:pt>
                <c:pt idx="478">
                  <c:v>47.9 km</c:v>
                </c:pt>
                <c:pt idx="479">
                  <c:v>48.0 km</c:v>
                </c:pt>
                <c:pt idx="480">
                  <c:v>48.1 km</c:v>
                </c:pt>
                <c:pt idx="481">
                  <c:v>48.2 km</c:v>
                </c:pt>
                <c:pt idx="482">
                  <c:v>48.3 km</c:v>
                </c:pt>
                <c:pt idx="483">
                  <c:v>48.4 km</c:v>
                </c:pt>
                <c:pt idx="484">
                  <c:v>48.5 km</c:v>
                </c:pt>
                <c:pt idx="485">
                  <c:v>48.6 km</c:v>
                </c:pt>
                <c:pt idx="486">
                  <c:v>48.7 km</c:v>
                </c:pt>
                <c:pt idx="487">
                  <c:v>48.8 km</c:v>
                </c:pt>
                <c:pt idx="488">
                  <c:v>48.9 km</c:v>
                </c:pt>
                <c:pt idx="489">
                  <c:v>49.0 km</c:v>
                </c:pt>
                <c:pt idx="490">
                  <c:v>49.1 km</c:v>
                </c:pt>
                <c:pt idx="491">
                  <c:v>49.2 km</c:v>
                </c:pt>
                <c:pt idx="492">
                  <c:v>49.3 km</c:v>
                </c:pt>
                <c:pt idx="493">
                  <c:v>49.4 km</c:v>
                </c:pt>
                <c:pt idx="494">
                  <c:v>49.5 km</c:v>
                </c:pt>
                <c:pt idx="495">
                  <c:v>49.6 km</c:v>
                </c:pt>
                <c:pt idx="496">
                  <c:v>49.7 km</c:v>
                </c:pt>
                <c:pt idx="497">
                  <c:v>49.8 km</c:v>
                </c:pt>
                <c:pt idx="498">
                  <c:v>49.9 km</c:v>
                </c:pt>
                <c:pt idx="499">
                  <c:v>50.0 km</c:v>
                </c:pt>
                <c:pt idx="500">
                  <c:v>50.1 km</c:v>
                </c:pt>
                <c:pt idx="501">
                  <c:v>50.2 km</c:v>
                </c:pt>
                <c:pt idx="502">
                  <c:v>50.3 km</c:v>
                </c:pt>
                <c:pt idx="503">
                  <c:v>50.4 km</c:v>
                </c:pt>
                <c:pt idx="504">
                  <c:v>50.5 km</c:v>
                </c:pt>
                <c:pt idx="505">
                  <c:v>50.6 km</c:v>
                </c:pt>
                <c:pt idx="506">
                  <c:v>50.7 km</c:v>
                </c:pt>
                <c:pt idx="507">
                  <c:v>50.8 km</c:v>
                </c:pt>
                <c:pt idx="508">
                  <c:v>50.9 km</c:v>
                </c:pt>
                <c:pt idx="509">
                  <c:v>51.0 km</c:v>
                </c:pt>
                <c:pt idx="510">
                  <c:v>51.1 km</c:v>
                </c:pt>
                <c:pt idx="511">
                  <c:v>51.2 km</c:v>
                </c:pt>
                <c:pt idx="512">
                  <c:v>51.3 km</c:v>
                </c:pt>
                <c:pt idx="513">
                  <c:v>51.4 km</c:v>
                </c:pt>
                <c:pt idx="514">
                  <c:v>51.5 km</c:v>
                </c:pt>
                <c:pt idx="515">
                  <c:v>51.6 km</c:v>
                </c:pt>
                <c:pt idx="516">
                  <c:v>51.7 km</c:v>
                </c:pt>
                <c:pt idx="517">
                  <c:v>51.8 km</c:v>
                </c:pt>
                <c:pt idx="518">
                  <c:v>51.9 km</c:v>
                </c:pt>
                <c:pt idx="519">
                  <c:v>52.0 km</c:v>
                </c:pt>
                <c:pt idx="520">
                  <c:v>52.1 km</c:v>
                </c:pt>
                <c:pt idx="521">
                  <c:v>52.2 km</c:v>
                </c:pt>
                <c:pt idx="522">
                  <c:v>52.3 km</c:v>
                </c:pt>
                <c:pt idx="523">
                  <c:v>52.4 km</c:v>
                </c:pt>
                <c:pt idx="524">
                  <c:v>52.5 km</c:v>
                </c:pt>
                <c:pt idx="525">
                  <c:v>52.6 km</c:v>
                </c:pt>
                <c:pt idx="526">
                  <c:v>52.7 km</c:v>
                </c:pt>
                <c:pt idx="527">
                  <c:v>52.8 km</c:v>
                </c:pt>
                <c:pt idx="528">
                  <c:v>52.9 km</c:v>
                </c:pt>
                <c:pt idx="529">
                  <c:v>53.0 km</c:v>
                </c:pt>
                <c:pt idx="530">
                  <c:v>53.1 km</c:v>
                </c:pt>
                <c:pt idx="531">
                  <c:v>53.2 km</c:v>
                </c:pt>
                <c:pt idx="532">
                  <c:v>53.3 km</c:v>
                </c:pt>
                <c:pt idx="533">
                  <c:v>53.4 km</c:v>
                </c:pt>
                <c:pt idx="534">
                  <c:v>53.5 km</c:v>
                </c:pt>
                <c:pt idx="535">
                  <c:v>53.6 km</c:v>
                </c:pt>
                <c:pt idx="536">
                  <c:v>53.7 km</c:v>
                </c:pt>
                <c:pt idx="537">
                  <c:v>53.8 km</c:v>
                </c:pt>
                <c:pt idx="538">
                  <c:v>53.9 km</c:v>
                </c:pt>
                <c:pt idx="539">
                  <c:v>54.0 km</c:v>
                </c:pt>
                <c:pt idx="540">
                  <c:v>54.1 km</c:v>
                </c:pt>
                <c:pt idx="541">
                  <c:v>54.2 km</c:v>
                </c:pt>
                <c:pt idx="542">
                  <c:v>54.3 km</c:v>
                </c:pt>
                <c:pt idx="543">
                  <c:v>54.4 km</c:v>
                </c:pt>
                <c:pt idx="544">
                  <c:v>54.5 km</c:v>
                </c:pt>
                <c:pt idx="545">
                  <c:v>54.6 km</c:v>
                </c:pt>
                <c:pt idx="546">
                  <c:v>54.7 km</c:v>
                </c:pt>
                <c:pt idx="547">
                  <c:v>54.8 km</c:v>
                </c:pt>
                <c:pt idx="548">
                  <c:v>54.9 km</c:v>
                </c:pt>
                <c:pt idx="549">
                  <c:v>55.0 km</c:v>
                </c:pt>
                <c:pt idx="550">
                  <c:v>55.1 km</c:v>
                </c:pt>
                <c:pt idx="551">
                  <c:v>55.2 km</c:v>
                </c:pt>
                <c:pt idx="552">
                  <c:v>55.3 km</c:v>
                </c:pt>
                <c:pt idx="553">
                  <c:v>55.4 km</c:v>
                </c:pt>
                <c:pt idx="554">
                  <c:v>55.5 km</c:v>
                </c:pt>
                <c:pt idx="555">
                  <c:v>55.6 km</c:v>
                </c:pt>
                <c:pt idx="556">
                  <c:v>55.7 km</c:v>
                </c:pt>
                <c:pt idx="557">
                  <c:v>55.8 km</c:v>
                </c:pt>
                <c:pt idx="558">
                  <c:v>55.9 km</c:v>
                </c:pt>
                <c:pt idx="559">
                  <c:v>56.0 km</c:v>
                </c:pt>
                <c:pt idx="560">
                  <c:v>56.1 km</c:v>
                </c:pt>
                <c:pt idx="561">
                  <c:v>56.2 km</c:v>
                </c:pt>
                <c:pt idx="562">
                  <c:v>56.3 km</c:v>
                </c:pt>
                <c:pt idx="563">
                  <c:v>56.4 km</c:v>
                </c:pt>
                <c:pt idx="564">
                  <c:v>56.5 km</c:v>
                </c:pt>
                <c:pt idx="565">
                  <c:v>56.6 km</c:v>
                </c:pt>
                <c:pt idx="566">
                  <c:v>56.7 km</c:v>
                </c:pt>
                <c:pt idx="567">
                  <c:v>56.8 km</c:v>
                </c:pt>
                <c:pt idx="568">
                  <c:v>56.9 km</c:v>
                </c:pt>
                <c:pt idx="569">
                  <c:v>57.0 km</c:v>
                </c:pt>
                <c:pt idx="570">
                  <c:v>57.1 km</c:v>
                </c:pt>
                <c:pt idx="571">
                  <c:v>57.2 km</c:v>
                </c:pt>
                <c:pt idx="572">
                  <c:v>57.3 km</c:v>
                </c:pt>
                <c:pt idx="573">
                  <c:v>57.4 km</c:v>
                </c:pt>
                <c:pt idx="574">
                  <c:v>57.5 km</c:v>
                </c:pt>
                <c:pt idx="575">
                  <c:v>57.6 km</c:v>
                </c:pt>
                <c:pt idx="576">
                  <c:v>57.7 km</c:v>
                </c:pt>
                <c:pt idx="577">
                  <c:v>57.8 km</c:v>
                </c:pt>
                <c:pt idx="578">
                  <c:v>57.9 km</c:v>
                </c:pt>
                <c:pt idx="579">
                  <c:v>58.0 km</c:v>
                </c:pt>
                <c:pt idx="580">
                  <c:v>58.1 km</c:v>
                </c:pt>
                <c:pt idx="581">
                  <c:v>58.2 km</c:v>
                </c:pt>
                <c:pt idx="582">
                  <c:v>58.3 km</c:v>
                </c:pt>
                <c:pt idx="583">
                  <c:v>58.4 km</c:v>
                </c:pt>
                <c:pt idx="584">
                  <c:v>58.5 km</c:v>
                </c:pt>
                <c:pt idx="585">
                  <c:v>58.6 km</c:v>
                </c:pt>
                <c:pt idx="586">
                  <c:v>58.7 km</c:v>
                </c:pt>
                <c:pt idx="587">
                  <c:v>58.8 km</c:v>
                </c:pt>
                <c:pt idx="588">
                  <c:v>58.9 km</c:v>
                </c:pt>
                <c:pt idx="589">
                  <c:v>59.0 km</c:v>
                </c:pt>
                <c:pt idx="590">
                  <c:v>59.1 km</c:v>
                </c:pt>
                <c:pt idx="591">
                  <c:v>59.2 km</c:v>
                </c:pt>
                <c:pt idx="592">
                  <c:v>59.3 km</c:v>
                </c:pt>
                <c:pt idx="593">
                  <c:v>59.4 km</c:v>
                </c:pt>
                <c:pt idx="594">
                  <c:v>59.5 km</c:v>
                </c:pt>
                <c:pt idx="595">
                  <c:v>59.6 km</c:v>
                </c:pt>
                <c:pt idx="596">
                  <c:v>59.7 km</c:v>
                </c:pt>
                <c:pt idx="597">
                  <c:v>59.8 km</c:v>
                </c:pt>
                <c:pt idx="598">
                  <c:v>59.9 km</c:v>
                </c:pt>
                <c:pt idx="599">
                  <c:v>60.0 km</c:v>
                </c:pt>
                <c:pt idx="600">
                  <c:v>60.1 km</c:v>
                </c:pt>
                <c:pt idx="601">
                  <c:v>60.2 km</c:v>
                </c:pt>
                <c:pt idx="602">
                  <c:v>60.3 km</c:v>
                </c:pt>
                <c:pt idx="603">
                  <c:v>60.4 km</c:v>
                </c:pt>
                <c:pt idx="604">
                  <c:v>60.5 km</c:v>
                </c:pt>
                <c:pt idx="605">
                  <c:v>60.6 km</c:v>
                </c:pt>
                <c:pt idx="606">
                  <c:v>60.7 km</c:v>
                </c:pt>
                <c:pt idx="607">
                  <c:v>60.8 km</c:v>
                </c:pt>
                <c:pt idx="608">
                  <c:v>60.9 km</c:v>
                </c:pt>
                <c:pt idx="609">
                  <c:v>61.0 km</c:v>
                </c:pt>
                <c:pt idx="610">
                  <c:v>61.1 km</c:v>
                </c:pt>
                <c:pt idx="611">
                  <c:v>61.2 km</c:v>
                </c:pt>
                <c:pt idx="612">
                  <c:v>61.3 km</c:v>
                </c:pt>
                <c:pt idx="613">
                  <c:v>61.4 km</c:v>
                </c:pt>
                <c:pt idx="614">
                  <c:v>61.5 km</c:v>
                </c:pt>
                <c:pt idx="615">
                  <c:v>61.6 km</c:v>
                </c:pt>
                <c:pt idx="616">
                  <c:v>61.7 km</c:v>
                </c:pt>
                <c:pt idx="617">
                  <c:v>61.8 km</c:v>
                </c:pt>
                <c:pt idx="618">
                  <c:v>61.9 km</c:v>
                </c:pt>
                <c:pt idx="619">
                  <c:v>62.0 km</c:v>
                </c:pt>
                <c:pt idx="620">
                  <c:v>62.1 km</c:v>
                </c:pt>
                <c:pt idx="621">
                  <c:v>62.2 km</c:v>
                </c:pt>
                <c:pt idx="622">
                  <c:v>62.3 km</c:v>
                </c:pt>
                <c:pt idx="623">
                  <c:v>62.4 km</c:v>
                </c:pt>
                <c:pt idx="624">
                  <c:v>62.5 km</c:v>
                </c:pt>
                <c:pt idx="625">
                  <c:v>62.6 km</c:v>
                </c:pt>
                <c:pt idx="626">
                  <c:v>62.7 km</c:v>
                </c:pt>
                <c:pt idx="627">
                  <c:v>62.8 km</c:v>
                </c:pt>
                <c:pt idx="628">
                  <c:v>62.9 km</c:v>
                </c:pt>
                <c:pt idx="629">
                  <c:v>63.0 km</c:v>
                </c:pt>
                <c:pt idx="630">
                  <c:v>63.1 km</c:v>
                </c:pt>
                <c:pt idx="631">
                  <c:v>63.2 km</c:v>
                </c:pt>
                <c:pt idx="632">
                  <c:v>63.3 km</c:v>
                </c:pt>
                <c:pt idx="633">
                  <c:v>63.4 km</c:v>
                </c:pt>
                <c:pt idx="634">
                  <c:v>63.5 km</c:v>
                </c:pt>
                <c:pt idx="635">
                  <c:v>63.6 km</c:v>
                </c:pt>
                <c:pt idx="636">
                  <c:v>63.7 km</c:v>
                </c:pt>
                <c:pt idx="637">
                  <c:v>63.8 km</c:v>
                </c:pt>
                <c:pt idx="638">
                  <c:v>63.9 km</c:v>
                </c:pt>
                <c:pt idx="639">
                  <c:v>64.0 km</c:v>
                </c:pt>
                <c:pt idx="640">
                  <c:v>64.1 km</c:v>
                </c:pt>
                <c:pt idx="641">
                  <c:v>64.2 km</c:v>
                </c:pt>
                <c:pt idx="642">
                  <c:v>64.3 km</c:v>
                </c:pt>
                <c:pt idx="643">
                  <c:v>64.4 km</c:v>
                </c:pt>
                <c:pt idx="644">
                  <c:v>64.5 km</c:v>
                </c:pt>
                <c:pt idx="645">
                  <c:v>64.6 km</c:v>
                </c:pt>
                <c:pt idx="646">
                  <c:v>64.7 km</c:v>
                </c:pt>
                <c:pt idx="647">
                  <c:v>64.8 km</c:v>
                </c:pt>
                <c:pt idx="648">
                  <c:v>64.9 km</c:v>
                </c:pt>
                <c:pt idx="649">
                  <c:v>65.0 km</c:v>
                </c:pt>
                <c:pt idx="650">
                  <c:v>65.1 km</c:v>
                </c:pt>
                <c:pt idx="651">
                  <c:v>65.2 km</c:v>
                </c:pt>
                <c:pt idx="652">
                  <c:v>65.3 km</c:v>
                </c:pt>
                <c:pt idx="653">
                  <c:v>65.4 km</c:v>
                </c:pt>
                <c:pt idx="654">
                  <c:v>65.5 km</c:v>
                </c:pt>
                <c:pt idx="655">
                  <c:v>65.6 km</c:v>
                </c:pt>
                <c:pt idx="656">
                  <c:v>65.7 km</c:v>
                </c:pt>
                <c:pt idx="657">
                  <c:v>65.8 km</c:v>
                </c:pt>
                <c:pt idx="658">
                  <c:v>65.9 km</c:v>
                </c:pt>
                <c:pt idx="659">
                  <c:v>66.0 km</c:v>
                </c:pt>
                <c:pt idx="660">
                  <c:v>66.1 km</c:v>
                </c:pt>
                <c:pt idx="661">
                  <c:v>66.2 km</c:v>
                </c:pt>
                <c:pt idx="662">
                  <c:v>66.3 km</c:v>
                </c:pt>
                <c:pt idx="663">
                  <c:v>66.4 km</c:v>
                </c:pt>
                <c:pt idx="664">
                  <c:v>66.5 km</c:v>
                </c:pt>
                <c:pt idx="665">
                  <c:v>66.6 km</c:v>
                </c:pt>
                <c:pt idx="666">
                  <c:v>66.7 km</c:v>
                </c:pt>
                <c:pt idx="667">
                  <c:v>66.8 km</c:v>
                </c:pt>
                <c:pt idx="668">
                  <c:v>66.9 km</c:v>
                </c:pt>
                <c:pt idx="669">
                  <c:v>67.0 km</c:v>
                </c:pt>
                <c:pt idx="670">
                  <c:v>67.1 km</c:v>
                </c:pt>
                <c:pt idx="671">
                  <c:v>67.2 km</c:v>
                </c:pt>
                <c:pt idx="672">
                  <c:v>67.3 km</c:v>
                </c:pt>
                <c:pt idx="673">
                  <c:v>67.4 km</c:v>
                </c:pt>
                <c:pt idx="674">
                  <c:v>67.5 km</c:v>
                </c:pt>
                <c:pt idx="675">
                  <c:v>67.6 km</c:v>
                </c:pt>
                <c:pt idx="676">
                  <c:v>67.7 km</c:v>
                </c:pt>
                <c:pt idx="677">
                  <c:v>67.8 km</c:v>
                </c:pt>
                <c:pt idx="678">
                  <c:v>67.9 km</c:v>
                </c:pt>
                <c:pt idx="679">
                  <c:v>68.0 km</c:v>
                </c:pt>
                <c:pt idx="680">
                  <c:v>68.1 km</c:v>
                </c:pt>
                <c:pt idx="681">
                  <c:v>68.2 km</c:v>
                </c:pt>
                <c:pt idx="682">
                  <c:v>68.3 km</c:v>
                </c:pt>
                <c:pt idx="683">
                  <c:v>68.4 km</c:v>
                </c:pt>
                <c:pt idx="684">
                  <c:v>68.5 km</c:v>
                </c:pt>
                <c:pt idx="685">
                  <c:v>68.6 km</c:v>
                </c:pt>
                <c:pt idx="686">
                  <c:v>68.7 km</c:v>
                </c:pt>
                <c:pt idx="687">
                  <c:v>68.8 km</c:v>
                </c:pt>
                <c:pt idx="688">
                  <c:v>68.9 km</c:v>
                </c:pt>
                <c:pt idx="689">
                  <c:v>69.0 km</c:v>
                </c:pt>
                <c:pt idx="690">
                  <c:v>69.1 km</c:v>
                </c:pt>
                <c:pt idx="691">
                  <c:v>69.2 km</c:v>
                </c:pt>
                <c:pt idx="692">
                  <c:v>69.3 km</c:v>
                </c:pt>
                <c:pt idx="693">
                  <c:v>69.4 km</c:v>
                </c:pt>
                <c:pt idx="694">
                  <c:v>69.5 km</c:v>
                </c:pt>
                <c:pt idx="695">
                  <c:v>69.6 km</c:v>
                </c:pt>
                <c:pt idx="696">
                  <c:v>69.7 km</c:v>
                </c:pt>
                <c:pt idx="697">
                  <c:v>69.8 km</c:v>
                </c:pt>
                <c:pt idx="698">
                  <c:v>69.9 km</c:v>
                </c:pt>
                <c:pt idx="699">
                  <c:v>70.0 km</c:v>
                </c:pt>
                <c:pt idx="700">
                  <c:v>70.1 km</c:v>
                </c:pt>
                <c:pt idx="701">
                  <c:v>70.2 km</c:v>
                </c:pt>
                <c:pt idx="702">
                  <c:v>70.3 km</c:v>
                </c:pt>
                <c:pt idx="703">
                  <c:v>70.4 km</c:v>
                </c:pt>
                <c:pt idx="704">
                  <c:v>70.5 km</c:v>
                </c:pt>
                <c:pt idx="705">
                  <c:v>70.6 km</c:v>
                </c:pt>
                <c:pt idx="706">
                  <c:v>70.7 km</c:v>
                </c:pt>
                <c:pt idx="707">
                  <c:v>70.8 km</c:v>
                </c:pt>
                <c:pt idx="708">
                  <c:v>70.9 km</c:v>
                </c:pt>
                <c:pt idx="709">
                  <c:v>71.0 km</c:v>
                </c:pt>
                <c:pt idx="710">
                  <c:v>71.1 km</c:v>
                </c:pt>
                <c:pt idx="711">
                  <c:v>71.2 km</c:v>
                </c:pt>
                <c:pt idx="712">
                  <c:v>71.3 km</c:v>
                </c:pt>
                <c:pt idx="713">
                  <c:v>71.4 km</c:v>
                </c:pt>
                <c:pt idx="714">
                  <c:v>71.5 km</c:v>
                </c:pt>
                <c:pt idx="715">
                  <c:v>71.6 km</c:v>
                </c:pt>
                <c:pt idx="716">
                  <c:v>71.7 km</c:v>
                </c:pt>
                <c:pt idx="717">
                  <c:v>71.8 km</c:v>
                </c:pt>
                <c:pt idx="718">
                  <c:v>71.9 km</c:v>
                </c:pt>
                <c:pt idx="719">
                  <c:v>72.0 km</c:v>
                </c:pt>
                <c:pt idx="720">
                  <c:v>72.1 km</c:v>
                </c:pt>
                <c:pt idx="721">
                  <c:v>72.2 km</c:v>
                </c:pt>
                <c:pt idx="722">
                  <c:v>72.3 km</c:v>
                </c:pt>
                <c:pt idx="723">
                  <c:v>72.4 km</c:v>
                </c:pt>
                <c:pt idx="724">
                  <c:v>72.5 km</c:v>
                </c:pt>
                <c:pt idx="725">
                  <c:v>72.6 km</c:v>
                </c:pt>
                <c:pt idx="726">
                  <c:v>72.7 km</c:v>
                </c:pt>
                <c:pt idx="727">
                  <c:v>72.8 km</c:v>
                </c:pt>
                <c:pt idx="728">
                  <c:v>72.9 km</c:v>
                </c:pt>
                <c:pt idx="729">
                  <c:v>73.0 km</c:v>
                </c:pt>
                <c:pt idx="730">
                  <c:v>73.1 km</c:v>
                </c:pt>
                <c:pt idx="731">
                  <c:v>73.2 km</c:v>
                </c:pt>
                <c:pt idx="732">
                  <c:v>73.3 km</c:v>
                </c:pt>
                <c:pt idx="733">
                  <c:v>73.4 km</c:v>
                </c:pt>
                <c:pt idx="734">
                  <c:v>73.5 km</c:v>
                </c:pt>
                <c:pt idx="735">
                  <c:v>73.6 km</c:v>
                </c:pt>
                <c:pt idx="736">
                  <c:v>73.7 km</c:v>
                </c:pt>
                <c:pt idx="737">
                  <c:v>73.8 km</c:v>
                </c:pt>
                <c:pt idx="738">
                  <c:v>73.9 km</c:v>
                </c:pt>
                <c:pt idx="739">
                  <c:v>Finish</c:v>
                </c:pt>
              </c:strCache>
            </c:strRef>
          </c:cat>
          <c:val>
            <c:numRef>
              <c:f>'Elevation Profile'!$F$2:$F$741</c:f>
              <c:numCache>
                <c:formatCode>General</c:formatCode>
                <c:ptCount val="740"/>
                <c:pt idx="0">
                  <c:v>-1</c:v>
                </c:pt>
                <c:pt idx="1">
                  <c:v>-3</c:v>
                </c:pt>
                <c:pt idx="2">
                  <c:v>-2</c:v>
                </c:pt>
                <c:pt idx="3">
                  <c:v>-2</c:v>
                </c:pt>
                <c:pt idx="4">
                  <c:v>-5</c:v>
                </c:pt>
                <c:pt idx="5">
                  <c:v>-4</c:v>
                </c:pt>
                <c:pt idx="6">
                  <c:v>1</c:v>
                </c:pt>
                <c:pt idx="7">
                  <c:v>11</c:v>
                </c:pt>
                <c:pt idx="8">
                  <c:v>22</c:v>
                </c:pt>
                <c:pt idx="9">
                  <c:v>32</c:v>
                </c:pt>
                <c:pt idx="10">
                  <c:v>37</c:v>
                </c:pt>
                <c:pt idx="11">
                  <c:v>42</c:v>
                </c:pt>
                <c:pt idx="12">
                  <c:v>54</c:v>
                </c:pt>
                <c:pt idx="13">
                  <c:v>58</c:v>
                </c:pt>
                <c:pt idx="14">
                  <c:v>59</c:v>
                </c:pt>
                <c:pt idx="15">
                  <c:v>61</c:v>
                </c:pt>
                <c:pt idx="16">
                  <c:v>62</c:v>
                </c:pt>
                <c:pt idx="17">
                  <c:v>60</c:v>
                </c:pt>
                <c:pt idx="18">
                  <c:v>66</c:v>
                </c:pt>
                <c:pt idx="19">
                  <c:v>77</c:v>
                </c:pt>
                <c:pt idx="20">
                  <c:v>79</c:v>
                </c:pt>
                <c:pt idx="21">
                  <c:v>86</c:v>
                </c:pt>
                <c:pt idx="22">
                  <c:v>92</c:v>
                </c:pt>
                <c:pt idx="23">
                  <c:v>94</c:v>
                </c:pt>
                <c:pt idx="24">
                  <c:v>93</c:v>
                </c:pt>
                <c:pt idx="25">
                  <c:v>89</c:v>
                </c:pt>
                <c:pt idx="26">
                  <c:v>92</c:v>
                </c:pt>
                <c:pt idx="27">
                  <c:v>91</c:v>
                </c:pt>
                <c:pt idx="28">
                  <c:v>89</c:v>
                </c:pt>
                <c:pt idx="29">
                  <c:v>86</c:v>
                </c:pt>
                <c:pt idx="30">
                  <c:v>93</c:v>
                </c:pt>
                <c:pt idx="31">
                  <c:v>101</c:v>
                </c:pt>
                <c:pt idx="32">
                  <c:v>107</c:v>
                </c:pt>
                <c:pt idx="33">
                  <c:v>116</c:v>
                </c:pt>
                <c:pt idx="34">
                  <c:v>124</c:v>
                </c:pt>
                <c:pt idx="35">
                  <c:v>130</c:v>
                </c:pt>
                <c:pt idx="36">
                  <c:v>133</c:v>
                </c:pt>
                <c:pt idx="37">
                  <c:v>142</c:v>
                </c:pt>
                <c:pt idx="38">
                  <c:v>155</c:v>
                </c:pt>
                <c:pt idx="39">
                  <c:v>166</c:v>
                </c:pt>
                <c:pt idx="40">
                  <c:v>169</c:v>
                </c:pt>
                <c:pt idx="41">
                  <c:v>169</c:v>
                </c:pt>
                <c:pt idx="42">
                  <c:v>178</c:v>
                </c:pt>
                <c:pt idx="43">
                  <c:v>193</c:v>
                </c:pt>
                <c:pt idx="44">
                  <c:v>206</c:v>
                </c:pt>
                <c:pt idx="45">
                  <c:v>210</c:v>
                </c:pt>
                <c:pt idx="46">
                  <c:v>212</c:v>
                </c:pt>
                <c:pt idx="47">
                  <c:v>213</c:v>
                </c:pt>
                <c:pt idx="48">
                  <c:v>215</c:v>
                </c:pt>
                <c:pt idx="49">
                  <c:v>219</c:v>
                </c:pt>
                <c:pt idx="50">
                  <c:v>224</c:v>
                </c:pt>
                <c:pt idx="51">
                  <c:v>227</c:v>
                </c:pt>
                <c:pt idx="52">
                  <c:v>229</c:v>
                </c:pt>
                <c:pt idx="53">
                  <c:v>222</c:v>
                </c:pt>
                <c:pt idx="54">
                  <c:v>214</c:v>
                </c:pt>
                <c:pt idx="55">
                  <c:v>218</c:v>
                </c:pt>
                <c:pt idx="56">
                  <c:v>222</c:v>
                </c:pt>
                <c:pt idx="57">
                  <c:v>219</c:v>
                </c:pt>
                <c:pt idx="58">
                  <c:v>220</c:v>
                </c:pt>
                <c:pt idx="59">
                  <c:v>225</c:v>
                </c:pt>
                <c:pt idx="60">
                  <c:v>232</c:v>
                </c:pt>
                <c:pt idx="61">
                  <c:v>235</c:v>
                </c:pt>
                <c:pt idx="62">
                  <c:v>231</c:v>
                </c:pt>
                <c:pt idx="63">
                  <c:v>227</c:v>
                </c:pt>
                <c:pt idx="64">
                  <c:v>216</c:v>
                </c:pt>
                <c:pt idx="65">
                  <c:v>206</c:v>
                </c:pt>
                <c:pt idx="66">
                  <c:v>201</c:v>
                </c:pt>
                <c:pt idx="67">
                  <c:v>202</c:v>
                </c:pt>
                <c:pt idx="68">
                  <c:v>206</c:v>
                </c:pt>
                <c:pt idx="69">
                  <c:v>212</c:v>
                </c:pt>
                <c:pt idx="70">
                  <c:v>218</c:v>
                </c:pt>
                <c:pt idx="71">
                  <c:v>220</c:v>
                </c:pt>
                <c:pt idx="72">
                  <c:v>220</c:v>
                </c:pt>
                <c:pt idx="73">
                  <c:v>221</c:v>
                </c:pt>
                <c:pt idx="74">
                  <c:v>220</c:v>
                </c:pt>
                <c:pt idx="75">
                  <c:v>215</c:v>
                </c:pt>
                <c:pt idx="76">
                  <c:v>215</c:v>
                </c:pt>
                <c:pt idx="77">
                  <c:v>217</c:v>
                </c:pt>
                <c:pt idx="78">
                  <c:v>221</c:v>
                </c:pt>
                <c:pt idx="79">
                  <c:v>227</c:v>
                </c:pt>
                <c:pt idx="80">
                  <c:v>233</c:v>
                </c:pt>
                <c:pt idx="81">
                  <c:v>239</c:v>
                </c:pt>
                <c:pt idx="82">
                  <c:v>244</c:v>
                </c:pt>
                <c:pt idx="83">
                  <c:v>244</c:v>
                </c:pt>
                <c:pt idx="84">
                  <c:v>241</c:v>
                </c:pt>
                <c:pt idx="85">
                  <c:v>239</c:v>
                </c:pt>
                <c:pt idx="86">
                  <c:v>235</c:v>
                </c:pt>
                <c:pt idx="87">
                  <c:v>235</c:v>
                </c:pt>
                <c:pt idx="88">
                  <c:v>239</c:v>
                </c:pt>
                <c:pt idx="89">
                  <c:v>242</c:v>
                </c:pt>
                <c:pt idx="90">
                  <c:v>246</c:v>
                </c:pt>
                <c:pt idx="91">
                  <c:v>248</c:v>
                </c:pt>
                <c:pt idx="92">
                  <c:v>251</c:v>
                </c:pt>
                <c:pt idx="93">
                  <c:v>253</c:v>
                </c:pt>
                <c:pt idx="94">
                  <c:v>254</c:v>
                </c:pt>
                <c:pt idx="95">
                  <c:v>256</c:v>
                </c:pt>
                <c:pt idx="96">
                  <c:v>262</c:v>
                </c:pt>
                <c:pt idx="97">
                  <c:v>268</c:v>
                </c:pt>
                <c:pt idx="98">
                  <c:v>274</c:v>
                </c:pt>
                <c:pt idx="99">
                  <c:v>282</c:v>
                </c:pt>
                <c:pt idx="100">
                  <c:v>290</c:v>
                </c:pt>
                <c:pt idx="101">
                  <c:v>298</c:v>
                </c:pt>
                <c:pt idx="102">
                  <c:v>308</c:v>
                </c:pt>
                <c:pt idx="103">
                  <c:v>319</c:v>
                </c:pt>
                <c:pt idx="104">
                  <c:v>325</c:v>
                </c:pt>
                <c:pt idx="105">
                  <c:v>332</c:v>
                </c:pt>
                <c:pt idx="106">
                  <c:v>338</c:v>
                </c:pt>
                <c:pt idx="107">
                  <c:v>339</c:v>
                </c:pt>
                <c:pt idx="108">
                  <c:v>336</c:v>
                </c:pt>
                <c:pt idx="109">
                  <c:v>332</c:v>
                </c:pt>
                <c:pt idx="110">
                  <c:v>331</c:v>
                </c:pt>
                <c:pt idx="111">
                  <c:v>334</c:v>
                </c:pt>
                <c:pt idx="112">
                  <c:v>337</c:v>
                </c:pt>
                <c:pt idx="113">
                  <c:v>332</c:v>
                </c:pt>
                <c:pt idx="114">
                  <c:v>325</c:v>
                </c:pt>
                <c:pt idx="115">
                  <c:v>322</c:v>
                </c:pt>
                <c:pt idx="116">
                  <c:v>324</c:v>
                </c:pt>
                <c:pt idx="117">
                  <c:v>329</c:v>
                </c:pt>
                <c:pt idx="118">
                  <c:v>334</c:v>
                </c:pt>
                <c:pt idx="119">
                  <c:v>339</c:v>
                </c:pt>
                <c:pt idx="120">
                  <c:v>341</c:v>
                </c:pt>
                <c:pt idx="121">
                  <c:v>342</c:v>
                </c:pt>
                <c:pt idx="122">
                  <c:v>342</c:v>
                </c:pt>
                <c:pt idx="123">
                  <c:v>341</c:v>
                </c:pt>
                <c:pt idx="124">
                  <c:v>341</c:v>
                </c:pt>
                <c:pt idx="125">
                  <c:v>341</c:v>
                </c:pt>
                <c:pt idx="126">
                  <c:v>341</c:v>
                </c:pt>
                <c:pt idx="127">
                  <c:v>342</c:v>
                </c:pt>
                <c:pt idx="128">
                  <c:v>347</c:v>
                </c:pt>
                <c:pt idx="129">
                  <c:v>356</c:v>
                </c:pt>
                <c:pt idx="130">
                  <c:v>362</c:v>
                </c:pt>
                <c:pt idx="131">
                  <c:v>370</c:v>
                </c:pt>
                <c:pt idx="132">
                  <c:v>379</c:v>
                </c:pt>
                <c:pt idx="133">
                  <c:v>390</c:v>
                </c:pt>
                <c:pt idx="134">
                  <c:v>401</c:v>
                </c:pt>
                <c:pt idx="135">
                  <c:v>407</c:v>
                </c:pt>
                <c:pt idx="136">
                  <c:v>405</c:v>
                </c:pt>
                <c:pt idx="137">
                  <c:v>404</c:v>
                </c:pt>
                <c:pt idx="138">
                  <c:v>405</c:v>
                </c:pt>
                <c:pt idx="139">
                  <c:v>410</c:v>
                </c:pt>
                <c:pt idx="140">
                  <c:v>416</c:v>
                </c:pt>
                <c:pt idx="141">
                  <c:v>419</c:v>
                </c:pt>
                <c:pt idx="142">
                  <c:v>419</c:v>
                </c:pt>
                <c:pt idx="143">
                  <c:v>415</c:v>
                </c:pt>
                <c:pt idx="144">
                  <c:v>415</c:v>
                </c:pt>
                <c:pt idx="145">
                  <c:v>418</c:v>
                </c:pt>
                <c:pt idx="146">
                  <c:v>423</c:v>
                </c:pt>
                <c:pt idx="147">
                  <c:v>428</c:v>
                </c:pt>
                <c:pt idx="148">
                  <c:v>434</c:v>
                </c:pt>
                <c:pt idx="149">
                  <c:v>439</c:v>
                </c:pt>
                <c:pt idx="150">
                  <c:v>443</c:v>
                </c:pt>
                <c:pt idx="151">
                  <c:v>448</c:v>
                </c:pt>
                <c:pt idx="152">
                  <c:v>453</c:v>
                </c:pt>
                <c:pt idx="153">
                  <c:v>460</c:v>
                </c:pt>
                <c:pt idx="154">
                  <c:v>464</c:v>
                </c:pt>
                <c:pt idx="155">
                  <c:v>466</c:v>
                </c:pt>
                <c:pt idx="156">
                  <c:v>466</c:v>
                </c:pt>
                <c:pt idx="157">
                  <c:v>466</c:v>
                </c:pt>
                <c:pt idx="158">
                  <c:v>462</c:v>
                </c:pt>
                <c:pt idx="159">
                  <c:v>455</c:v>
                </c:pt>
                <c:pt idx="160">
                  <c:v>451</c:v>
                </c:pt>
                <c:pt idx="161">
                  <c:v>448</c:v>
                </c:pt>
                <c:pt idx="162">
                  <c:v>447</c:v>
                </c:pt>
                <c:pt idx="163">
                  <c:v>449</c:v>
                </c:pt>
                <c:pt idx="164">
                  <c:v>452</c:v>
                </c:pt>
                <c:pt idx="165">
                  <c:v>457</c:v>
                </c:pt>
                <c:pt idx="166">
                  <c:v>461</c:v>
                </c:pt>
                <c:pt idx="167">
                  <c:v>463</c:v>
                </c:pt>
                <c:pt idx="168">
                  <c:v>461</c:v>
                </c:pt>
                <c:pt idx="169">
                  <c:v>460</c:v>
                </c:pt>
                <c:pt idx="170">
                  <c:v>460</c:v>
                </c:pt>
                <c:pt idx="171">
                  <c:v>454</c:v>
                </c:pt>
                <c:pt idx="172">
                  <c:v>443</c:v>
                </c:pt>
                <c:pt idx="173">
                  <c:v>440</c:v>
                </c:pt>
                <c:pt idx="174">
                  <c:v>432</c:v>
                </c:pt>
                <c:pt idx="175">
                  <c:v>425</c:v>
                </c:pt>
                <c:pt idx="176">
                  <c:v>419</c:v>
                </c:pt>
                <c:pt idx="177">
                  <c:v>425</c:v>
                </c:pt>
                <c:pt idx="178">
                  <c:v>422</c:v>
                </c:pt>
                <c:pt idx="179">
                  <c:v>424</c:v>
                </c:pt>
                <c:pt idx="180">
                  <c:v>428</c:v>
                </c:pt>
                <c:pt idx="181">
                  <c:v>431</c:v>
                </c:pt>
                <c:pt idx="182">
                  <c:v>437</c:v>
                </c:pt>
                <c:pt idx="183">
                  <c:v>446</c:v>
                </c:pt>
                <c:pt idx="184">
                  <c:v>455</c:v>
                </c:pt>
                <c:pt idx="185">
                  <c:v>461</c:v>
                </c:pt>
                <c:pt idx="186">
                  <c:v>461</c:v>
                </c:pt>
                <c:pt idx="187">
                  <c:v>463</c:v>
                </c:pt>
                <c:pt idx="188">
                  <c:v>464</c:v>
                </c:pt>
                <c:pt idx="189">
                  <c:v>469</c:v>
                </c:pt>
                <c:pt idx="190">
                  <c:v>477</c:v>
                </c:pt>
                <c:pt idx="191">
                  <c:v>482</c:v>
                </c:pt>
                <c:pt idx="192">
                  <c:v>489</c:v>
                </c:pt>
                <c:pt idx="193">
                  <c:v>495</c:v>
                </c:pt>
                <c:pt idx="194">
                  <c:v>496</c:v>
                </c:pt>
                <c:pt idx="195">
                  <c:v>493</c:v>
                </c:pt>
                <c:pt idx="196">
                  <c:v>486</c:v>
                </c:pt>
                <c:pt idx="197">
                  <c:v>479</c:v>
                </c:pt>
                <c:pt idx="198">
                  <c:v>471</c:v>
                </c:pt>
                <c:pt idx="199">
                  <c:v>468</c:v>
                </c:pt>
                <c:pt idx="200">
                  <c:v>472</c:v>
                </c:pt>
                <c:pt idx="201">
                  <c:v>480</c:v>
                </c:pt>
                <c:pt idx="202">
                  <c:v>492</c:v>
                </c:pt>
                <c:pt idx="203">
                  <c:v>504</c:v>
                </c:pt>
                <c:pt idx="204">
                  <c:v>511</c:v>
                </c:pt>
                <c:pt idx="205">
                  <c:v>513</c:v>
                </c:pt>
                <c:pt idx="206">
                  <c:v>513</c:v>
                </c:pt>
                <c:pt idx="207">
                  <c:v>513</c:v>
                </c:pt>
                <c:pt idx="208">
                  <c:v>514</c:v>
                </c:pt>
                <c:pt idx="209">
                  <c:v>512</c:v>
                </c:pt>
                <c:pt idx="210">
                  <c:v>499</c:v>
                </c:pt>
                <c:pt idx="211">
                  <c:v>487</c:v>
                </c:pt>
                <c:pt idx="212">
                  <c:v>483</c:v>
                </c:pt>
                <c:pt idx="213">
                  <c:v>486</c:v>
                </c:pt>
                <c:pt idx="214">
                  <c:v>490</c:v>
                </c:pt>
                <c:pt idx="215">
                  <c:v>494</c:v>
                </c:pt>
                <c:pt idx="216">
                  <c:v>500</c:v>
                </c:pt>
                <c:pt idx="217">
                  <c:v>507</c:v>
                </c:pt>
                <c:pt idx="218">
                  <c:v>504</c:v>
                </c:pt>
                <c:pt idx="219">
                  <c:v>500</c:v>
                </c:pt>
                <c:pt idx="220">
                  <c:v>498</c:v>
                </c:pt>
                <c:pt idx="221">
                  <c:v>500</c:v>
                </c:pt>
                <c:pt idx="222">
                  <c:v>498</c:v>
                </c:pt>
                <c:pt idx="223">
                  <c:v>496</c:v>
                </c:pt>
                <c:pt idx="224">
                  <c:v>493</c:v>
                </c:pt>
                <c:pt idx="225">
                  <c:v>495</c:v>
                </c:pt>
                <c:pt idx="226">
                  <c:v>501</c:v>
                </c:pt>
                <c:pt idx="227">
                  <c:v>510</c:v>
                </c:pt>
                <c:pt idx="228">
                  <c:v>518</c:v>
                </c:pt>
                <c:pt idx="229">
                  <c:v>520</c:v>
                </c:pt>
                <c:pt idx="230">
                  <c:v>524</c:v>
                </c:pt>
                <c:pt idx="231">
                  <c:v>543</c:v>
                </c:pt>
                <c:pt idx="232">
                  <c:v>559</c:v>
                </c:pt>
                <c:pt idx="233">
                  <c:v>568</c:v>
                </c:pt>
                <c:pt idx="234">
                  <c:v>577</c:v>
                </c:pt>
                <c:pt idx="235">
                  <c:v>585</c:v>
                </c:pt>
                <c:pt idx="236">
                  <c:v>590</c:v>
                </c:pt>
                <c:pt idx="237">
                  <c:v>593</c:v>
                </c:pt>
                <c:pt idx="238">
                  <c:v>594</c:v>
                </c:pt>
                <c:pt idx="239">
                  <c:v>588</c:v>
                </c:pt>
                <c:pt idx="240">
                  <c:v>588</c:v>
                </c:pt>
                <c:pt idx="241">
                  <c:v>591</c:v>
                </c:pt>
                <c:pt idx="242">
                  <c:v>601</c:v>
                </c:pt>
                <c:pt idx="243">
                  <c:v>615</c:v>
                </c:pt>
                <c:pt idx="244">
                  <c:v>628</c:v>
                </c:pt>
                <c:pt idx="245">
                  <c:v>645</c:v>
                </c:pt>
                <c:pt idx="246">
                  <c:v>661</c:v>
                </c:pt>
                <c:pt idx="247">
                  <c:v>672</c:v>
                </c:pt>
                <c:pt idx="248">
                  <c:v>671</c:v>
                </c:pt>
                <c:pt idx="249">
                  <c:v>673</c:v>
                </c:pt>
                <c:pt idx="250">
                  <c:v>674</c:v>
                </c:pt>
                <c:pt idx="251">
                  <c:v>680</c:v>
                </c:pt>
                <c:pt idx="252">
                  <c:v>689</c:v>
                </c:pt>
                <c:pt idx="253">
                  <c:v>688</c:v>
                </c:pt>
                <c:pt idx="254">
                  <c:v>675</c:v>
                </c:pt>
                <c:pt idx="255">
                  <c:v>656</c:v>
                </c:pt>
                <c:pt idx="256">
                  <c:v>639</c:v>
                </c:pt>
                <c:pt idx="257">
                  <c:v>631</c:v>
                </c:pt>
                <c:pt idx="258">
                  <c:v>611</c:v>
                </c:pt>
                <c:pt idx="259">
                  <c:v>596</c:v>
                </c:pt>
                <c:pt idx="260">
                  <c:v>577</c:v>
                </c:pt>
                <c:pt idx="261">
                  <c:v>558</c:v>
                </c:pt>
                <c:pt idx="262">
                  <c:v>544</c:v>
                </c:pt>
                <c:pt idx="263">
                  <c:v>532</c:v>
                </c:pt>
                <c:pt idx="264">
                  <c:v>519</c:v>
                </c:pt>
                <c:pt idx="265">
                  <c:v>508</c:v>
                </c:pt>
                <c:pt idx="266">
                  <c:v>504</c:v>
                </c:pt>
                <c:pt idx="267">
                  <c:v>506</c:v>
                </c:pt>
                <c:pt idx="268">
                  <c:v>511</c:v>
                </c:pt>
                <c:pt idx="269">
                  <c:v>516</c:v>
                </c:pt>
                <c:pt idx="270">
                  <c:v>522</c:v>
                </c:pt>
                <c:pt idx="271">
                  <c:v>531</c:v>
                </c:pt>
                <c:pt idx="272">
                  <c:v>538</c:v>
                </c:pt>
                <c:pt idx="273">
                  <c:v>539</c:v>
                </c:pt>
                <c:pt idx="274">
                  <c:v>539</c:v>
                </c:pt>
                <c:pt idx="275">
                  <c:v>542</c:v>
                </c:pt>
                <c:pt idx="276">
                  <c:v>539</c:v>
                </c:pt>
                <c:pt idx="277">
                  <c:v>539</c:v>
                </c:pt>
                <c:pt idx="278">
                  <c:v>544</c:v>
                </c:pt>
                <c:pt idx="279">
                  <c:v>543</c:v>
                </c:pt>
                <c:pt idx="280">
                  <c:v>540</c:v>
                </c:pt>
                <c:pt idx="281">
                  <c:v>527</c:v>
                </c:pt>
                <c:pt idx="282">
                  <c:v>517</c:v>
                </c:pt>
                <c:pt idx="283">
                  <c:v>511</c:v>
                </c:pt>
                <c:pt idx="284">
                  <c:v>502</c:v>
                </c:pt>
                <c:pt idx="285">
                  <c:v>496</c:v>
                </c:pt>
                <c:pt idx="286">
                  <c:v>497</c:v>
                </c:pt>
                <c:pt idx="287">
                  <c:v>492</c:v>
                </c:pt>
                <c:pt idx="288">
                  <c:v>494</c:v>
                </c:pt>
                <c:pt idx="289">
                  <c:v>488</c:v>
                </c:pt>
                <c:pt idx="290">
                  <c:v>491</c:v>
                </c:pt>
                <c:pt idx="291">
                  <c:v>496</c:v>
                </c:pt>
                <c:pt idx="292">
                  <c:v>490</c:v>
                </c:pt>
                <c:pt idx="293">
                  <c:v>485</c:v>
                </c:pt>
                <c:pt idx="294">
                  <c:v>482</c:v>
                </c:pt>
                <c:pt idx="295">
                  <c:v>486</c:v>
                </c:pt>
                <c:pt idx="296">
                  <c:v>491</c:v>
                </c:pt>
                <c:pt idx="297">
                  <c:v>493</c:v>
                </c:pt>
                <c:pt idx="298">
                  <c:v>495</c:v>
                </c:pt>
                <c:pt idx="299">
                  <c:v>496</c:v>
                </c:pt>
                <c:pt idx="300">
                  <c:v>492</c:v>
                </c:pt>
                <c:pt idx="301">
                  <c:v>485</c:v>
                </c:pt>
                <c:pt idx="302">
                  <c:v>479</c:v>
                </c:pt>
                <c:pt idx="303">
                  <c:v>473</c:v>
                </c:pt>
                <c:pt idx="304">
                  <c:v>467</c:v>
                </c:pt>
                <c:pt idx="305">
                  <c:v>462</c:v>
                </c:pt>
                <c:pt idx="306">
                  <c:v>463</c:v>
                </c:pt>
                <c:pt idx="307">
                  <c:v>467</c:v>
                </c:pt>
                <c:pt idx="308">
                  <c:v>476</c:v>
                </c:pt>
                <c:pt idx="309">
                  <c:v>481</c:v>
                </c:pt>
                <c:pt idx="310">
                  <c:v>482</c:v>
                </c:pt>
                <c:pt idx="311">
                  <c:v>478</c:v>
                </c:pt>
                <c:pt idx="312">
                  <c:v>474</c:v>
                </c:pt>
                <c:pt idx="313">
                  <c:v>472</c:v>
                </c:pt>
                <c:pt idx="314">
                  <c:v>472</c:v>
                </c:pt>
                <c:pt idx="315">
                  <c:v>475</c:v>
                </c:pt>
                <c:pt idx="316">
                  <c:v>481</c:v>
                </c:pt>
                <c:pt idx="317">
                  <c:v>490</c:v>
                </c:pt>
                <c:pt idx="318">
                  <c:v>496</c:v>
                </c:pt>
                <c:pt idx="319">
                  <c:v>500</c:v>
                </c:pt>
                <c:pt idx="320">
                  <c:v>504</c:v>
                </c:pt>
                <c:pt idx="321">
                  <c:v>507</c:v>
                </c:pt>
                <c:pt idx="322">
                  <c:v>510</c:v>
                </c:pt>
                <c:pt idx="323">
                  <c:v>514</c:v>
                </c:pt>
                <c:pt idx="324">
                  <c:v>517</c:v>
                </c:pt>
                <c:pt idx="325">
                  <c:v>519</c:v>
                </c:pt>
                <c:pt idx="326">
                  <c:v>516</c:v>
                </c:pt>
                <c:pt idx="327">
                  <c:v>507</c:v>
                </c:pt>
                <c:pt idx="328">
                  <c:v>499</c:v>
                </c:pt>
                <c:pt idx="329">
                  <c:v>492</c:v>
                </c:pt>
                <c:pt idx="330">
                  <c:v>485</c:v>
                </c:pt>
                <c:pt idx="331">
                  <c:v>479</c:v>
                </c:pt>
                <c:pt idx="332">
                  <c:v>474</c:v>
                </c:pt>
                <c:pt idx="333">
                  <c:v>471</c:v>
                </c:pt>
                <c:pt idx="334">
                  <c:v>470</c:v>
                </c:pt>
                <c:pt idx="335">
                  <c:v>475</c:v>
                </c:pt>
                <c:pt idx="336">
                  <c:v>483</c:v>
                </c:pt>
                <c:pt idx="337">
                  <c:v>493</c:v>
                </c:pt>
                <c:pt idx="338">
                  <c:v>499</c:v>
                </c:pt>
                <c:pt idx="339">
                  <c:v>494</c:v>
                </c:pt>
                <c:pt idx="340">
                  <c:v>485</c:v>
                </c:pt>
                <c:pt idx="341">
                  <c:v>481</c:v>
                </c:pt>
                <c:pt idx="342">
                  <c:v>482</c:v>
                </c:pt>
                <c:pt idx="343">
                  <c:v>483</c:v>
                </c:pt>
                <c:pt idx="344">
                  <c:v>480</c:v>
                </c:pt>
                <c:pt idx="345">
                  <c:v>481</c:v>
                </c:pt>
                <c:pt idx="346">
                  <c:v>480</c:v>
                </c:pt>
                <c:pt idx="347">
                  <c:v>481</c:v>
                </c:pt>
                <c:pt idx="348">
                  <c:v>485</c:v>
                </c:pt>
                <c:pt idx="349">
                  <c:v>490</c:v>
                </c:pt>
                <c:pt idx="350">
                  <c:v>492</c:v>
                </c:pt>
                <c:pt idx="351">
                  <c:v>500</c:v>
                </c:pt>
                <c:pt idx="352">
                  <c:v>511</c:v>
                </c:pt>
                <c:pt idx="353">
                  <c:v>516</c:v>
                </c:pt>
                <c:pt idx="354">
                  <c:v>514</c:v>
                </c:pt>
                <c:pt idx="355">
                  <c:v>505</c:v>
                </c:pt>
                <c:pt idx="356">
                  <c:v>500</c:v>
                </c:pt>
                <c:pt idx="357">
                  <c:v>501</c:v>
                </c:pt>
                <c:pt idx="358">
                  <c:v>500</c:v>
                </c:pt>
                <c:pt idx="359">
                  <c:v>496</c:v>
                </c:pt>
                <c:pt idx="360">
                  <c:v>496</c:v>
                </c:pt>
                <c:pt idx="361">
                  <c:v>501</c:v>
                </c:pt>
                <c:pt idx="362">
                  <c:v>500</c:v>
                </c:pt>
                <c:pt idx="363">
                  <c:v>499</c:v>
                </c:pt>
                <c:pt idx="364">
                  <c:v>496</c:v>
                </c:pt>
                <c:pt idx="365">
                  <c:v>496</c:v>
                </c:pt>
                <c:pt idx="366">
                  <c:v>498</c:v>
                </c:pt>
                <c:pt idx="367">
                  <c:v>504</c:v>
                </c:pt>
                <c:pt idx="368">
                  <c:v>502</c:v>
                </c:pt>
                <c:pt idx="369">
                  <c:v>504</c:v>
                </c:pt>
                <c:pt idx="370">
                  <c:v>497</c:v>
                </c:pt>
                <c:pt idx="371">
                  <c:v>493</c:v>
                </c:pt>
                <c:pt idx="372">
                  <c:v>497</c:v>
                </c:pt>
                <c:pt idx="373">
                  <c:v>501</c:v>
                </c:pt>
                <c:pt idx="374">
                  <c:v>511</c:v>
                </c:pt>
                <c:pt idx="375">
                  <c:v>519</c:v>
                </c:pt>
                <c:pt idx="376">
                  <c:v>527</c:v>
                </c:pt>
                <c:pt idx="377">
                  <c:v>525</c:v>
                </c:pt>
                <c:pt idx="378">
                  <c:v>524</c:v>
                </c:pt>
                <c:pt idx="379">
                  <c:v>526</c:v>
                </c:pt>
                <c:pt idx="380">
                  <c:v>530</c:v>
                </c:pt>
                <c:pt idx="381">
                  <c:v>534</c:v>
                </c:pt>
                <c:pt idx="382">
                  <c:v>534</c:v>
                </c:pt>
                <c:pt idx="383">
                  <c:v>531</c:v>
                </c:pt>
                <c:pt idx="384">
                  <c:v>527</c:v>
                </c:pt>
                <c:pt idx="385">
                  <c:v>524</c:v>
                </c:pt>
                <c:pt idx="386">
                  <c:v>521</c:v>
                </c:pt>
                <c:pt idx="387">
                  <c:v>517</c:v>
                </c:pt>
                <c:pt idx="388">
                  <c:v>517</c:v>
                </c:pt>
                <c:pt idx="389">
                  <c:v>519</c:v>
                </c:pt>
                <c:pt idx="390">
                  <c:v>520</c:v>
                </c:pt>
                <c:pt idx="391">
                  <c:v>521</c:v>
                </c:pt>
                <c:pt idx="392">
                  <c:v>521</c:v>
                </c:pt>
                <c:pt idx="393">
                  <c:v>518</c:v>
                </c:pt>
                <c:pt idx="394">
                  <c:v>518</c:v>
                </c:pt>
                <c:pt idx="395">
                  <c:v>521</c:v>
                </c:pt>
                <c:pt idx="396">
                  <c:v>521</c:v>
                </c:pt>
                <c:pt idx="397">
                  <c:v>520</c:v>
                </c:pt>
                <c:pt idx="398">
                  <c:v>521</c:v>
                </c:pt>
                <c:pt idx="399">
                  <c:v>521</c:v>
                </c:pt>
                <c:pt idx="400">
                  <c:v>518</c:v>
                </c:pt>
                <c:pt idx="401">
                  <c:v>515</c:v>
                </c:pt>
                <c:pt idx="402">
                  <c:v>509</c:v>
                </c:pt>
                <c:pt idx="403">
                  <c:v>502</c:v>
                </c:pt>
                <c:pt idx="404">
                  <c:v>495</c:v>
                </c:pt>
                <c:pt idx="405">
                  <c:v>494</c:v>
                </c:pt>
                <c:pt idx="406">
                  <c:v>496</c:v>
                </c:pt>
                <c:pt idx="407">
                  <c:v>498</c:v>
                </c:pt>
                <c:pt idx="408">
                  <c:v>506</c:v>
                </c:pt>
                <c:pt idx="409">
                  <c:v>517</c:v>
                </c:pt>
                <c:pt idx="410">
                  <c:v>529</c:v>
                </c:pt>
                <c:pt idx="411">
                  <c:v>538</c:v>
                </c:pt>
                <c:pt idx="412">
                  <c:v>537</c:v>
                </c:pt>
                <c:pt idx="413">
                  <c:v>530</c:v>
                </c:pt>
                <c:pt idx="414">
                  <c:v>523</c:v>
                </c:pt>
                <c:pt idx="415">
                  <c:v>516</c:v>
                </c:pt>
                <c:pt idx="416">
                  <c:v>514</c:v>
                </c:pt>
                <c:pt idx="417">
                  <c:v>517</c:v>
                </c:pt>
                <c:pt idx="418">
                  <c:v>520</c:v>
                </c:pt>
                <c:pt idx="419">
                  <c:v>525</c:v>
                </c:pt>
                <c:pt idx="420">
                  <c:v>527</c:v>
                </c:pt>
                <c:pt idx="421">
                  <c:v>534</c:v>
                </c:pt>
                <c:pt idx="422">
                  <c:v>546</c:v>
                </c:pt>
                <c:pt idx="423">
                  <c:v>556</c:v>
                </c:pt>
                <c:pt idx="424">
                  <c:v>562</c:v>
                </c:pt>
                <c:pt idx="425">
                  <c:v>577</c:v>
                </c:pt>
                <c:pt idx="426">
                  <c:v>592</c:v>
                </c:pt>
                <c:pt idx="427">
                  <c:v>600</c:v>
                </c:pt>
                <c:pt idx="428">
                  <c:v>606</c:v>
                </c:pt>
                <c:pt idx="429">
                  <c:v>611</c:v>
                </c:pt>
                <c:pt idx="430">
                  <c:v>617</c:v>
                </c:pt>
                <c:pt idx="431">
                  <c:v>623</c:v>
                </c:pt>
                <c:pt idx="432">
                  <c:v>630</c:v>
                </c:pt>
                <c:pt idx="433">
                  <c:v>637</c:v>
                </c:pt>
                <c:pt idx="434">
                  <c:v>640</c:v>
                </c:pt>
                <c:pt idx="435">
                  <c:v>643</c:v>
                </c:pt>
                <c:pt idx="436">
                  <c:v>646</c:v>
                </c:pt>
                <c:pt idx="437">
                  <c:v>649</c:v>
                </c:pt>
                <c:pt idx="438">
                  <c:v>652</c:v>
                </c:pt>
                <c:pt idx="439">
                  <c:v>651</c:v>
                </c:pt>
                <c:pt idx="440">
                  <c:v>648</c:v>
                </c:pt>
                <c:pt idx="441">
                  <c:v>646</c:v>
                </c:pt>
                <c:pt idx="442">
                  <c:v>645</c:v>
                </c:pt>
                <c:pt idx="443">
                  <c:v>646</c:v>
                </c:pt>
                <c:pt idx="444">
                  <c:v>647</c:v>
                </c:pt>
                <c:pt idx="445">
                  <c:v>646</c:v>
                </c:pt>
                <c:pt idx="446">
                  <c:v>643</c:v>
                </c:pt>
                <c:pt idx="447">
                  <c:v>641</c:v>
                </c:pt>
                <c:pt idx="448">
                  <c:v>635</c:v>
                </c:pt>
                <c:pt idx="449">
                  <c:v>624</c:v>
                </c:pt>
                <c:pt idx="450">
                  <c:v>619</c:v>
                </c:pt>
                <c:pt idx="451">
                  <c:v>619</c:v>
                </c:pt>
                <c:pt idx="452">
                  <c:v>622</c:v>
                </c:pt>
                <c:pt idx="453">
                  <c:v>626</c:v>
                </c:pt>
                <c:pt idx="454">
                  <c:v>629</c:v>
                </c:pt>
                <c:pt idx="455">
                  <c:v>629</c:v>
                </c:pt>
                <c:pt idx="456">
                  <c:v>628</c:v>
                </c:pt>
                <c:pt idx="457">
                  <c:v>628</c:v>
                </c:pt>
                <c:pt idx="458">
                  <c:v>628</c:v>
                </c:pt>
                <c:pt idx="459">
                  <c:v>630</c:v>
                </c:pt>
                <c:pt idx="460">
                  <c:v>631</c:v>
                </c:pt>
                <c:pt idx="461">
                  <c:v>632</c:v>
                </c:pt>
                <c:pt idx="462">
                  <c:v>634</c:v>
                </c:pt>
                <c:pt idx="463">
                  <c:v>637</c:v>
                </c:pt>
                <c:pt idx="464">
                  <c:v>637</c:v>
                </c:pt>
                <c:pt idx="465">
                  <c:v>636</c:v>
                </c:pt>
                <c:pt idx="466">
                  <c:v>633</c:v>
                </c:pt>
                <c:pt idx="467">
                  <c:v>630</c:v>
                </c:pt>
                <c:pt idx="468">
                  <c:v>628</c:v>
                </c:pt>
                <c:pt idx="469">
                  <c:v>625</c:v>
                </c:pt>
                <c:pt idx="470">
                  <c:v>621</c:v>
                </c:pt>
                <c:pt idx="471">
                  <c:v>618</c:v>
                </c:pt>
                <c:pt idx="472">
                  <c:v>612</c:v>
                </c:pt>
                <c:pt idx="473">
                  <c:v>605</c:v>
                </c:pt>
                <c:pt idx="474">
                  <c:v>599</c:v>
                </c:pt>
                <c:pt idx="475">
                  <c:v>593</c:v>
                </c:pt>
                <c:pt idx="476">
                  <c:v>590</c:v>
                </c:pt>
                <c:pt idx="477">
                  <c:v>588</c:v>
                </c:pt>
                <c:pt idx="478">
                  <c:v>590</c:v>
                </c:pt>
                <c:pt idx="479">
                  <c:v>598</c:v>
                </c:pt>
                <c:pt idx="480">
                  <c:v>609</c:v>
                </c:pt>
                <c:pt idx="481">
                  <c:v>615</c:v>
                </c:pt>
                <c:pt idx="482">
                  <c:v>621</c:v>
                </c:pt>
                <c:pt idx="483">
                  <c:v>623</c:v>
                </c:pt>
                <c:pt idx="484">
                  <c:v>620</c:v>
                </c:pt>
                <c:pt idx="485">
                  <c:v>617</c:v>
                </c:pt>
                <c:pt idx="486">
                  <c:v>621</c:v>
                </c:pt>
                <c:pt idx="487">
                  <c:v>624</c:v>
                </c:pt>
                <c:pt idx="488">
                  <c:v>624</c:v>
                </c:pt>
                <c:pt idx="489">
                  <c:v>623</c:v>
                </c:pt>
                <c:pt idx="490">
                  <c:v>622</c:v>
                </c:pt>
                <c:pt idx="491">
                  <c:v>622</c:v>
                </c:pt>
                <c:pt idx="492">
                  <c:v>621</c:v>
                </c:pt>
                <c:pt idx="493">
                  <c:v>621</c:v>
                </c:pt>
                <c:pt idx="494">
                  <c:v>626</c:v>
                </c:pt>
                <c:pt idx="495">
                  <c:v>632</c:v>
                </c:pt>
                <c:pt idx="496">
                  <c:v>639</c:v>
                </c:pt>
                <c:pt idx="497">
                  <c:v>638</c:v>
                </c:pt>
                <c:pt idx="498">
                  <c:v>637</c:v>
                </c:pt>
                <c:pt idx="499">
                  <c:v>638</c:v>
                </c:pt>
                <c:pt idx="500">
                  <c:v>642</c:v>
                </c:pt>
                <c:pt idx="501">
                  <c:v>645</c:v>
                </c:pt>
                <c:pt idx="502">
                  <c:v>647</c:v>
                </c:pt>
                <c:pt idx="503">
                  <c:v>649</c:v>
                </c:pt>
                <c:pt idx="504">
                  <c:v>649</c:v>
                </c:pt>
                <c:pt idx="505">
                  <c:v>649</c:v>
                </c:pt>
                <c:pt idx="506">
                  <c:v>650</c:v>
                </c:pt>
                <c:pt idx="507">
                  <c:v>651</c:v>
                </c:pt>
                <c:pt idx="508">
                  <c:v>656</c:v>
                </c:pt>
                <c:pt idx="509">
                  <c:v>653</c:v>
                </c:pt>
                <c:pt idx="510">
                  <c:v>648</c:v>
                </c:pt>
                <c:pt idx="511">
                  <c:v>655</c:v>
                </c:pt>
                <c:pt idx="512">
                  <c:v>659</c:v>
                </c:pt>
                <c:pt idx="513">
                  <c:v>662</c:v>
                </c:pt>
                <c:pt idx="514">
                  <c:v>663</c:v>
                </c:pt>
                <c:pt idx="515">
                  <c:v>662</c:v>
                </c:pt>
                <c:pt idx="516">
                  <c:v>662</c:v>
                </c:pt>
                <c:pt idx="517">
                  <c:v>660</c:v>
                </c:pt>
                <c:pt idx="518">
                  <c:v>658</c:v>
                </c:pt>
                <c:pt idx="519">
                  <c:v>655</c:v>
                </c:pt>
                <c:pt idx="520">
                  <c:v>651</c:v>
                </c:pt>
                <c:pt idx="521">
                  <c:v>648</c:v>
                </c:pt>
                <c:pt idx="522">
                  <c:v>648</c:v>
                </c:pt>
                <c:pt idx="523">
                  <c:v>652</c:v>
                </c:pt>
                <c:pt idx="524">
                  <c:v>652</c:v>
                </c:pt>
                <c:pt idx="525">
                  <c:v>649</c:v>
                </c:pt>
                <c:pt idx="526">
                  <c:v>648</c:v>
                </c:pt>
                <c:pt idx="527">
                  <c:v>646</c:v>
                </c:pt>
                <c:pt idx="528">
                  <c:v>642</c:v>
                </c:pt>
                <c:pt idx="529">
                  <c:v>637</c:v>
                </c:pt>
                <c:pt idx="530">
                  <c:v>636</c:v>
                </c:pt>
                <c:pt idx="531">
                  <c:v>634</c:v>
                </c:pt>
                <c:pt idx="532">
                  <c:v>631</c:v>
                </c:pt>
                <c:pt idx="533">
                  <c:v>630</c:v>
                </c:pt>
                <c:pt idx="534">
                  <c:v>632</c:v>
                </c:pt>
                <c:pt idx="535">
                  <c:v>633</c:v>
                </c:pt>
                <c:pt idx="536">
                  <c:v>638</c:v>
                </c:pt>
                <c:pt idx="537">
                  <c:v>642</c:v>
                </c:pt>
                <c:pt idx="538">
                  <c:v>643</c:v>
                </c:pt>
                <c:pt idx="539">
                  <c:v>640</c:v>
                </c:pt>
                <c:pt idx="540">
                  <c:v>633</c:v>
                </c:pt>
                <c:pt idx="541">
                  <c:v>624</c:v>
                </c:pt>
                <c:pt idx="542">
                  <c:v>619</c:v>
                </c:pt>
                <c:pt idx="543">
                  <c:v>614</c:v>
                </c:pt>
                <c:pt idx="544">
                  <c:v>615</c:v>
                </c:pt>
                <c:pt idx="545">
                  <c:v>616</c:v>
                </c:pt>
                <c:pt idx="546">
                  <c:v>620</c:v>
                </c:pt>
                <c:pt idx="547">
                  <c:v>627</c:v>
                </c:pt>
                <c:pt idx="548">
                  <c:v>634</c:v>
                </c:pt>
                <c:pt idx="549">
                  <c:v>642</c:v>
                </c:pt>
                <c:pt idx="550">
                  <c:v>652</c:v>
                </c:pt>
                <c:pt idx="551">
                  <c:v>661</c:v>
                </c:pt>
                <c:pt idx="552">
                  <c:v>668</c:v>
                </c:pt>
                <c:pt idx="553">
                  <c:v>674</c:v>
                </c:pt>
                <c:pt idx="554">
                  <c:v>678</c:v>
                </c:pt>
                <c:pt idx="555">
                  <c:v>679</c:v>
                </c:pt>
                <c:pt idx="556">
                  <c:v>679</c:v>
                </c:pt>
                <c:pt idx="557">
                  <c:v>677</c:v>
                </c:pt>
                <c:pt idx="558">
                  <c:v>672</c:v>
                </c:pt>
                <c:pt idx="559">
                  <c:v>666</c:v>
                </c:pt>
                <c:pt idx="560">
                  <c:v>658</c:v>
                </c:pt>
                <c:pt idx="561">
                  <c:v>648</c:v>
                </c:pt>
                <c:pt idx="562">
                  <c:v>642</c:v>
                </c:pt>
                <c:pt idx="563">
                  <c:v>633</c:v>
                </c:pt>
                <c:pt idx="564">
                  <c:v>627</c:v>
                </c:pt>
                <c:pt idx="565">
                  <c:v>619</c:v>
                </c:pt>
                <c:pt idx="566">
                  <c:v>610</c:v>
                </c:pt>
                <c:pt idx="567">
                  <c:v>605</c:v>
                </c:pt>
                <c:pt idx="568">
                  <c:v>603</c:v>
                </c:pt>
                <c:pt idx="569">
                  <c:v>610</c:v>
                </c:pt>
                <c:pt idx="570">
                  <c:v>621</c:v>
                </c:pt>
                <c:pt idx="571">
                  <c:v>631</c:v>
                </c:pt>
                <c:pt idx="572">
                  <c:v>638</c:v>
                </c:pt>
                <c:pt idx="573">
                  <c:v>640</c:v>
                </c:pt>
                <c:pt idx="574">
                  <c:v>641</c:v>
                </c:pt>
                <c:pt idx="575">
                  <c:v>638</c:v>
                </c:pt>
                <c:pt idx="576">
                  <c:v>641</c:v>
                </c:pt>
                <c:pt idx="577">
                  <c:v>644</c:v>
                </c:pt>
                <c:pt idx="578">
                  <c:v>649</c:v>
                </c:pt>
                <c:pt idx="579">
                  <c:v>653</c:v>
                </c:pt>
                <c:pt idx="580">
                  <c:v>654</c:v>
                </c:pt>
                <c:pt idx="581">
                  <c:v>653</c:v>
                </c:pt>
                <c:pt idx="582">
                  <c:v>650</c:v>
                </c:pt>
                <c:pt idx="583">
                  <c:v>646</c:v>
                </c:pt>
                <c:pt idx="584">
                  <c:v>641</c:v>
                </c:pt>
                <c:pt idx="585">
                  <c:v>634</c:v>
                </c:pt>
                <c:pt idx="586">
                  <c:v>629</c:v>
                </c:pt>
                <c:pt idx="587">
                  <c:v>632</c:v>
                </c:pt>
                <c:pt idx="588">
                  <c:v>629</c:v>
                </c:pt>
                <c:pt idx="589">
                  <c:v>633</c:v>
                </c:pt>
                <c:pt idx="590">
                  <c:v>642</c:v>
                </c:pt>
                <c:pt idx="591">
                  <c:v>641</c:v>
                </c:pt>
                <c:pt idx="592">
                  <c:v>644</c:v>
                </c:pt>
                <c:pt idx="593">
                  <c:v>646</c:v>
                </c:pt>
                <c:pt idx="594">
                  <c:v>646</c:v>
                </c:pt>
                <c:pt idx="595">
                  <c:v>648</c:v>
                </c:pt>
                <c:pt idx="596">
                  <c:v>654</c:v>
                </c:pt>
                <c:pt idx="597">
                  <c:v>656</c:v>
                </c:pt>
                <c:pt idx="598">
                  <c:v>659</c:v>
                </c:pt>
                <c:pt idx="599">
                  <c:v>666</c:v>
                </c:pt>
                <c:pt idx="600">
                  <c:v>672</c:v>
                </c:pt>
                <c:pt idx="601">
                  <c:v>679</c:v>
                </c:pt>
                <c:pt idx="602">
                  <c:v>683</c:v>
                </c:pt>
                <c:pt idx="603">
                  <c:v>686</c:v>
                </c:pt>
                <c:pt idx="604">
                  <c:v>688</c:v>
                </c:pt>
                <c:pt idx="605">
                  <c:v>692</c:v>
                </c:pt>
                <c:pt idx="606">
                  <c:v>695</c:v>
                </c:pt>
                <c:pt idx="607">
                  <c:v>698</c:v>
                </c:pt>
                <c:pt idx="608">
                  <c:v>699</c:v>
                </c:pt>
                <c:pt idx="609">
                  <c:v>707</c:v>
                </c:pt>
                <c:pt idx="610">
                  <c:v>718</c:v>
                </c:pt>
                <c:pt idx="611">
                  <c:v>728</c:v>
                </c:pt>
                <c:pt idx="612">
                  <c:v>737</c:v>
                </c:pt>
                <c:pt idx="613">
                  <c:v>743</c:v>
                </c:pt>
                <c:pt idx="614">
                  <c:v>746</c:v>
                </c:pt>
                <c:pt idx="615">
                  <c:v>747</c:v>
                </c:pt>
                <c:pt idx="616">
                  <c:v>748</c:v>
                </c:pt>
                <c:pt idx="617">
                  <c:v>746</c:v>
                </c:pt>
                <c:pt idx="618">
                  <c:v>741</c:v>
                </c:pt>
                <c:pt idx="619">
                  <c:v>737</c:v>
                </c:pt>
                <c:pt idx="620">
                  <c:v>733</c:v>
                </c:pt>
                <c:pt idx="621">
                  <c:v>729</c:v>
                </c:pt>
                <c:pt idx="622">
                  <c:v>720</c:v>
                </c:pt>
                <c:pt idx="623">
                  <c:v>712</c:v>
                </c:pt>
                <c:pt idx="624">
                  <c:v>706</c:v>
                </c:pt>
                <c:pt idx="625">
                  <c:v>700</c:v>
                </c:pt>
                <c:pt idx="626">
                  <c:v>695</c:v>
                </c:pt>
                <c:pt idx="627">
                  <c:v>691</c:v>
                </c:pt>
                <c:pt idx="628">
                  <c:v>691</c:v>
                </c:pt>
                <c:pt idx="629">
                  <c:v>700</c:v>
                </c:pt>
                <c:pt idx="630">
                  <c:v>703</c:v>
                </c:pt>
                <c:pt idx="631">
                  <c:v>700</c:v>
                </c:pt>
                <c:pt idx="632">
                  <c:v>698</c:v>
                </c:pt>
                <c:pt idx="633">
                  <c:v>703</c:v>
                </c:pt>
                <c:pt idx="634">
                  <c:v>707</c:v>
                </c:pt>
                <c:pt idx="635">
                  <c:v>706</c:v>
                </c:pt>
                <c:pt idx="636">
                  <c:v>705</c:v>
                </c:pt>
                <c:pt idx="637">
                  <c:v>709</c:v>
                </c:pt>
                <c:pt idx="638">
                  <c:v>714</c:v>
                </c:pt>
                <c:pt idx="639">
                  <c:v>717</c:v>
                </c:pt>
                <c:pt idx="640">
                  <c:v>720</c:v>
                </c:pt>
                <c:pt idx="641">
                  <c:v>721</c:v>
                </c:pt>
                <c:pt idx="642">
                  <c:v>720</c:v>
                </c:pt>
                <c:pt idx="643">
                  <c:v>719</c:v>
                </c:pt>
                <c:pt idx="644">
                  <c:v>714</c:v>
                </c:pt>
                <c:pt idx="645">
                  <c:v>712</c:v>
                </c:pt>
                <c:pt idx="646">
                  <c:v>708</c:v>
                </c:pt>
                <c:pt idx="647">
                  <c:v>703</c:v>
                </c:pt>
                <c:pt idx="648">
                  <c:v>696</c:v>
                </c:pt>
                <c:pt idx="649">
                  <c:v>690</c:v>
                </c:pt>
                <c:pt idx="650">
                  <c:v>690</c:v>
                </c:pt>
                <c:pt idx="651">
                  <c:v>686</c:v>
                </c:pt>
                <c:pt idx="652">
                  <c:v>682</c:v>
                </c:pt>
                <c:pt idx="653">
                  <c:v>678</c:v>
                </c:pt>
                <c:pt idx="654">
                  <c:v>673</c:v>
                </c:pt>
                <c:pt idx="655">
                  <c:v>669</c:v>
                </c:pt>
                <c:pt idx="656">
                  <c:v>662</c:v>
                </c:pt>
                <c:pt idx="657">
                  <c:v>658</c:v>
                </c:pt>
                <c:pt idx="658">
                  <c:v>654</c:v>
                </c:pt>
                <c:pt idx="659">
                  <c:v>651</c:v>
                </c:pt>
                <c:pt idx="660">
                  <c:v>649</c:v>
                </c:pt>
                <c:pt idx="661">
                  <c:v>650</c:v>
                </c:pt>
                <c:pt idx="662">
                  <c:v>649</c:v>
                </c:pt>
                <c:pt idx="663">
                  <c:v>648</c:v>
                </c:pt>
                <c:pt idx="664">
                  <c:v>647</c:v>
                </c:pt>
                <c:pt idx="665">
                  <c:v>645</c:v>
                </c:pt>
                <c:pt idx="666">
                  <c:v>642</c:v>
                </c:pt>
                <c:pt idx="667">
                  <c:v>639</c:v>
                </c:pt>
                <c:pt idx="668">
                  <c:v>634</c:v>
                </c:pt>
                <c:pt idx="669">
                  <c:v>629</c:v>
                </c:pt>
                <c:pt idx="670">
                  <c:v>612</c:v>
                </c:pt>
                <c:pt idx="671">
                  <c:v>607</c:v>
                </c:pt>
                <c:pt idx="672">
                  <c:v>603</c:v>
                </c:pt>
                <c:pt idx="673">
                  <c:v>594</c:v>
                </c:pt>
                <c:pt idx="674">
                  <c:v>588</c:v>
                </c:pt>
                <c:pt idx="675">
                  <c:v>583</c:v>
                </c:pt>
                <c:pt idx="676">
                  <c:v>576</c:v>
                </c:pt>
                <c:pt idx="677">
                  <c:v>573</c:v>
                </c:pt>
                <c:pt idx="678">
                  <c:v>572</c:v>
                </c:pt>
                <c:pt idx="679">
                  <c:v>574</c:v>
                </c:pt>
                <c:pt idx="680">
                  <c:v>565</c:v>
                </c:pt>
                <c:pt idx="681">
                  <c:v>558</c:v>
                </c:pt>
                <c:pt idx="682">
                  <c:v>556</c:v>
                </c:pt>
                <c:pt idx="683">
                  <c:v>562</c:v>
                </c:pt>
                <c:pt idx="684">
                  <c:v>564</c:v>
                </c:pt>
                <c:pt idx="685">
                  <c:v>562</c:v>
                </c:pt>
                <c:pt idx="686">
                  <c:v>559</c:v>
                </c:pt>
                <c:pt idx="687">
                  <c:v>569</c:v>
                </c:pt>
                <c:pt idx="688">
                  <c:v>578</c:v>
                </c:pt>
                <c:pt idx="689">
                  <c:v>580</c:v>
                </c:pt>
                <c:pt idx="690">
                  <c:v>582</c:v>
                </c:pt>
                <c:pt idx="691">
                  <c:v>588</c:v>
                </c:pt>
                <c:pt idx="692">
                  <c:v>589</c:v>
                </c:pt>
                <c:pt idx="693">
                  <c:v>591</c:v>
                </c:pt>
                <c:pt idx="694">
                  <c:v>591</c:v>
                </c:pt>
                <c:pt idx="695">
                  <c:v>590</c:v>
                </c:pt>
                <c:pt idx="696">
                  <c:v>589</c:v>
                </c:pt>
                <c:pt idx="697">
                  <c:v>592</c:v>
                </c:pt>
                <c:pt idx="698">
                  <c:v>597</c:v>
                </c:pt>
                <c:pt idx="699">
                  <c:v>603</c:v>
                </c:pt>
                <c:pt idx="700">
                  <c:v>607</c:v>
                </c:pt>
                <c:pt idx="701">
                  <c:v>604</c:v>
                </c:pt>
                <c:pt idx="702">
                  <c:v>598</c:v>
                </c:pt>
                <c:pt idx="703">
                  <c:v>591</c:v>
                </c:pt>
                <c:pt idx="704">
                  <c:v>585</c:v>
                </c:pt>
                <c:pt idx="705">
                  <c:v>583</c:v>
                </c:pt>
                <c:pt idx="706">
                  <c:v>587</c:v>
                </c:pt>
                <c:pt idx="707">
                  <c:v>587</c:v>
                </c:pt>
                <c:pt idx="708">
                  <c:v>585</c:v>
                </c:pt>
                <c:pt idx="709">
                  <c:v>588</c:v>
                </c:pt>
                <c:pt idx="710">
                  <c:v>589</c:v>
                </c:pt>
                <c:pt idx="711">
                  <c:v>574</c:v>
                </c:pt>
                <c:pt idx="712">
                  <c:v>569</c:v>
                </c:pt>
                <c:pt idx="713">
                  <c:v>568</c:v>
                </c:pt>
                <c:pt idx="714">
                  <c:v>562</c:v>
                </c:pt>
                <c:pt idx="715">
                  <c:v>552</c:v>
                </c:pt>
                <c:pt idx="716">
                  <c:v>550</c:v>
                </c:pt>
                <c:pt idx="717">
                  <c:v>543</c:v>
                </c:pt>
                <c:pt idx="718">
                  <c:v>533</c:v>
                </c:pt>
                <c:pt idx="719">
                  <c:v>528</c:v>
                </c:pt>
                <c:pt idx="720">
                  <c:v>526</c:v>
                </c:pt>
                <c:pt idx="721">
                  <c:v>525</c:v>
                </c:pt>
                <c:pt idx="722">
                  <c:v>519</c:v>
                </c:pt>
                <c:pt idx="723">
                  <c:v>516</c:v>
                </c:pt>
                <c:pt idx="724">
                  <c:v>517</c:v>
                </c:pt>
                <c:pt idx="725">
                  <c:v>516</c:v>
                </c:pt>
                <c:pt idx="726">
                  <c:v>515</c:v>
                </c:pt>
                <c:pt idx="727">
                  <c:v>512</c:v>
                </c:pt>
                <c:pt idx="728">
                  <c:v>509</c:v>
                </c:pt>
                <c:pt idx="729">
                  <c:v>504</c:v>
                </c:pt>
                <c:pt idx="730">
                  <c:v>497</c:v>
                </c:pt>
                <c:pt idx="731">
                  <c:v>491</c:v>
                </c:pt>
                <c:pt idx="732">
                  <c:v>491</c:v>
                </c:pt>
                <c:pt idx="733">
                  <c:v>492</c:v>
                </c:pt>
                <c:pt idx="734">
                  <c:v>495</c:v>
                </c:pt>
                <c:pt idx="735">
                  <c:v>496</c:v>
                </c:pt>
                <c:pt idx="736">
                  <c:v>495</c:v>
                </c:pt>
                <c:pt idx="737">
                  <c:v>491</c:v>
                </c:pt>
                <c:pt idx="738">
                  <c:v>487</c:v>
                </c:pt>
                <c:pt idx="739">
                  <c:v>487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46426607"/>
        <c:axId val="90286244"/>
      </c:lineChart>
      <c:catAx>
        <c:axId val="464266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latin typeface="Arial"/>
              </a:defRPr>
            </a:pPr>
            <a:endParaRPr/>
          </a:p>
        </c:txPr>
        <c:crossAx val="90286244"/>
        <c:crosses val="autoZero"/>
        <c:auto val="1"/>
        <c:lblAlgn val="ctr"/>
        <c:lblOffset val="100"/>
        <c:noMultiLvlLbl val="0"/>
      </c:catAx>
      <c:valAx>
        <c:axId val="9028624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latin typeface="Arial"/>
              </a:defRPr>
            </a:pPr>
            <a:endParaRPr/>
          </a:p>
        </c:txPr>
        <c:crossAx val="46426607"/>
        <c:crosses val="autoZero"/>
        <c:crossBetween val="midCat"/>
      </c:valAx>
      <c:spPr bwMode="auto">
        <a:prstGeom prst="rect">
          <a:avLst/>
        </a:prstGeom>
        <a:noFill/>
        <a:ln w="0">
          <a:solidFill>
            <a:srgbClr val="B3B3B3"/>
          </a:solidFill>
        </a:ln>
      </c:spPr>
    </c:plotArea>
    <c:plotVisOnly val="1"/>
    <c:dispBlanksAs val="gap"/>
    <c:showDLblsOverMax val="0"/>
  </c:chart>
  <c:spPr bwMode="auto">
    <a:xfrm rot="0">
      <a:off x="8904960" y="932040"/>
      <a:ext cx="4991760" cy="3239640"/>
    </a:xfrm>
    <a:prstGeom prst="rect">
      <a:avLst/>
    </a:prstGeom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  <cs:dataPointMarkerLayout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14</xdr:col>
      <xdr:colOff>21239</xdr:colOff>
      <xdr:row>3</xdr:row>
      <xdr:rowOff>74879</xdr:rowOff>
    </xdr:from>
    <xdr:to>
      <xdr:col>19</xdr:col>
      <xdr:colOff>561599</xdr:colOff>
      <xdr:row>14</xdr:row>
      <xdr:rowOff>170999</xdr:rowOff>
    </xdr:to>
    <xdr:graphicFrame>
      <xdr:nvGraphicFramePr>
        <xdr:cNvPr id="1" name="Elevation Profile"/>
        <xdr:cNvGraphicFramePr>
          <a:graphicFrameLocks xmlns:a="http://schemas.openxmlformats.org/drawingml/2006/main"/>
        </xdr:cNvGraphicFramePr>
      </xdr:nvGraphicFramePr>
      <xdr:xfrm rot="0">
        <a:off x="8904960" y="932040"/>
        <a:ext cx="49917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Segment_Performance_Metrics" ref="A1:M18" headerRowCount="1" totalsRowCount="0">
  <tableColumns count="13">
    <tableColumn id="1" name="Segment Name"/>
    <tableColumn id="2" name="Surface"/>
    <tableColumn id="3" name="Distance (km)"/>
    <tableColumn id="4" name="Split Length (km)"/>
    <tableColumn id="5" name="Gain (m)"/>
    <tableColumn id="6" name="Loss (m)"/>
    <tableColumn id="7" name="Net Change (m)"/>
    <tableColumn id="8" name="Cumulative Elevation (m)"/>
    <tableColumn id="9" name="Grade (%)"/>
    <tableColumn id="10" name="Target Pace (min/km)"/>
    <tableColumn id="11" name="Split Time (min)"/>
    <tableColumn id="12" name="Station Delay (min)"/>
    <tableColumn id="13" name="Arrival Time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80" workbookViewId="0">
      <pane ySplit="1" topLeftCell="A2" activePane="bottomLeft" state="frozen"/>
      <selection activeCell="Q18" activeCellId="0" sqref="Q18"/>
    </sheetView>
  </sheetViews>
  <sheetFormatPr defaultColWidth="12.6328125" defaultRowHeight="15.75" customHeight="1"/>
  <cols>
    <col customWidth="1" min="1" max="1" style="0" width="17"/>
    <col customWidth="1" min="2" max="2" style="0" width="11.25"/>
    <col customWidth="1" min="3" max="9" style="0" width="6.3799999999999999"/>
    <col customWidth="1" min="10" max="10" style="0" width="13.421875"/>
    <col customWidth="1" min="11" max="11" style="0" width="16.421875"/>
    <col customWidth="1" min="12" max="13" style="0" width="10.130000000000001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3" t="s">
        <v>13</v>
      </c>
      <c r="B2" s="4" t="s">
        <v>14</v>
      </c>
      <c r="C2" s="4">
        <v>5</v>
      </c>
      <c r="D2" s="4">
        <v>5</v>
      </c>
      <c r="E2" s="4">
        <v>252</v>
      </c>
      <c r="F2" s="4">
        <v>33</v>
      </c>
      <c r="G2" s="4">
        <v>32</v>
      </c>
      <c r="H2" s="4">
        <v>219</v>
      </c>
      <c r="I2" s="4">
        <v>4.4000000000000004</v>
      </c>
      <c r="J2" s="5">
        <f>$P$2*(43.1667*POWER(I2/100,5)-8.4444*POWER(I2/100,4)-12.0278*POWER(I2/100,3)+12.8611*POWER(I2/100,2)+5.4167*(I2/100)+1)</f>
        <v>6.1356204678227272e-03</v>
      </c>
      <c r="K2" s="5">
        <f t="shared" ref="K2:K9" si="0">J2*D2</f>
        <v>3.0678102339113635e-02</v>
      </c>
      <c r="L2" s="5"/>
      <c r="M2" s="6">
        <f t="shared" ref="M2:M9" si="1">$P$3+SUM(K$2:K2)+SUM(L$2:L2)</f>
        <v>0.40567810233911361</v>
      </c>
      <c r="O2" s="7" t="s">
        <v>15</v>
      </c>
      <c r="P2" s="8">
        <v>4.8611111111111103e-03</v>
      </c>
      <c r="Q2" s="7" t="s">
        <v>16</v>
      </c>
    </row>
    <row r="3" ht="22.5" customHeight="1">
      <c r="A3" s="9" t="s">
        <v>17</v>
      </c>
      <c r="B3" s="10" t="s">
        <v>18</v>
      </c>
      <c r="C3" s="10">
        <v>10</v>
      </c>
      <c r="D3" s="10">
        <v>5</v>
      </c>
      <c r="E3" s="10">
        <v>135</v>
      </c>
      <c r="F3" s="10">
        <v>72</v>
      </c>
      <c r="G3" s="10">
        <v>45</v>
      </c>
      <c r="H3" s="10">
        <v>282</v>
      </c>
      <c r="I3" s="10">
        <v>1.3</v>
      </c>
      <c r="J3" s="11">
        <f>$P$2*(43.1667*POWER(I3/100,5)-8.4444*POWER(I3/100,4)-12.0278*POWER(I3/100,3)+12.8611*POWER(I3/100,2)+5.4167*(I3/100)+1)</f>
        <v>5.2138526595088153e-03</v>
      </c>
      <c r="K3" s="11">
        <f t="shared" si="0"/>
        <v>2.6069263297544075e-02</v>
      </c>
      <c r="L3" s="11"/>
      <c r="M3" s="12">
        <f t="shared" si="1"/>
        <v>0.43174736563665772</v>
      </c>
      <c r="O3" s="7" t="s">
        <v>19</v>
      </c>
      <c r="P3" s="13">
        <v>0.375</v>
      </c>
    </row>
    <row r="4" ht="22.5" customHeight="1">
      <c r="A4" s="9" t="s">
        <v>20</v>
      </c>
      <c r="B4" s="10" t="s">
        <v>21</v>
      </c>
      <c r="C4" s="10">
        <v>15</v>
      </c>
      <c r="D4" s="10">
        <v>5</v>
      </c>
      <c r="E4" s="10">
        <v>190</v>
      </c>
      <c r="F4" s="10">
        <v>33</v>
      </c>
      <c r="G4" s="10">
        <v>9</v>
      </c>
      <c r="H4" s="10">
        <v>439</v>
      </c>
      <c r="I4" s="10">
        <v>3.1000000000000001</v>
      </c>
      <c r="J4" s="11">
        <f>$P$2*(43.1667*POWER(I4/100,5)-8.4444*POWER(I4/100,4)-12.0278*POWER(I4/100,3)+12.8611*POWER(I4/100,2)+5.4167*(I4/100)+1)</f>
        <v>5.7356849577000551e-03</v>
      </c>
      <c r="K4" s="11">
        <f t="shared" si="0"/>
        <v>2.8678424788500276e-02</v>
      </c>
      <c r="L4" s="11">
        <v>2.0833333333333298e-03</v>
      </c>
      <c r="M4" s="12">
        <f t="shared" si="1"/>
        <v>0.46250912375849129</v>
      </c>
    </row>
    <row r="5" ht="22.5" customHeight="1">
      <c r="A5" s="9" t="s">
        <v>22</v>
      </c>
      <c r="B5" s="10" t="s">
        <v>23</v>
      </c>
      <c r="C5" s="10">
        <v>20</v>
      </c>
      <c r="D5" s="10">
        <v>5</v>
      </c>
      <c r="E5" s="10">
        <v>126</v>
      </c>
      <c r="F5" s="10">
        <v>98</v>
      </c>
      <c r="G5" s="10">
        <v>80</v>
      </c>
      <c r="H5" s="10">
        <v>468</v>
      </c>
      <c r="I5" s="10">
        <v>0.59999999999999998</v>
      </c>
      <c r="J5" s="11">
        <f>$P$2*(43.1667*POWER(I5/100,5)-8.4444*POWER(I5/100,4)-12.0278*POWER(I5/100,3)+12.8611*POWER(I5/100,2)+5.4167*(I5/100)+1)</f>
        <v>5.0213362061864251e-03</v>
      </c>
      <c r="K5" s="11">
        <f t="shared" si="0"/>
        <v>2.5106681030932124e-02</v>
      </c>
      <c r="L5" s="11"/>
      <c r="M5" s="12">
        <f t="shared" si="1"/>
        <v>0.48761580478942346</v>
      </c>
    </row>
    <row r="6" ht="22.5" customHeight="1">
      <c r="A6" s="9" t="s">
        <v>24</v>
      </c>
      <c r="B6" s="10" t="s">
        <v>23</v>
      </c>
      <c r="C6" s="10">
        <v>25</v>
      </c>
      <c r="D6" s="10">
        <v>5</v>
      </c>
      <c r="E6" s="10">
        <v>263</v>
      </c>
      <c r="F6" s="10">
        <v>57</v>
      </c>
      <c r="G6" s="10">
        <v>53</v>
      </c>
      <c r="H6" s="10">
        <v>673</v>
      </c>
      <c r="I6" s="10">
        <v>4.0999999999999996</v>
      </c>
      <c r="J6" s="11">
        <f>$P$2*(43.1667*POWER(I6/100,5)-8.4444*POWER(I6/100,4)-12.0278*POWER(I6/100,3)+12.8611*POWER(I6/100,2)+5.4167*(I6/100)+1)</f>
        <v>6.041662960131376e-03</v>
      </c>
      <c r="K6" s="11">
        <f t="shared" si="0"/>
        <v>3.0208314800656881e-02</v>
      </c>
      <c r="L6" s="11"/>
      <c r="M6" s="12">
        <f t="shared" si="1"/>
        <v>0.51782411959008035</v>
      </c>
    </row>
    <row r="7" ht="22.5" customHeight="1">
      <c r="A7" s="9" t="s">
        <v>25</v>
      </c>
      <c r="B7" s="10" t="s">
        <v>23</v>
      </c>
      <c r="C7" s="10">
        <v>30</v>
      </c>
      <c r="D7" s="10">
        <v>5</v>
      </c>
      <c r="E7" s="10">
        <v>93</v>
      </c>
      <c r="F7" s="10">
        <v>270</v>
      </c>
      <c r="G7" s="10">
        <v>6</v>
      </c>
      <c r="H7" s="10">
        <v>496</v>
      </c>
      <c r="I7" s="10">
        <v>-3.6000000000000001</v>
      </c>
      <c r="J7" s="11">
        <f>$P$2*(43.1667*POWER(I7/100,5)-8.4444*POWER(I7/100,4)-12.0278*POWER(I7/100,3)+12.8611*POWER(I7/100,2)+5.4167*(I7/100)+1)</f>
        <v>3.9968598112049931e-03</v>
      </c>
      <c r="K7" s="11">
        <f t="shared" si="0"/>
        <v>1.9984299056024966e-02</v>
      </c>
      <c r="L7" s="11"/>
      <c r="M7" s="12">
        <f t="shared" si="1"/>
        <v>0.53780841864610529</v>
      </c>
    </row>
    <row r="8" ht="22.5" customHeight="1">
      <c r="A8" s="9" t="s">
        <v>26</v>
      </c>
      <c r="B8" s="10" t="s">
        <v>23</v>
      </c>
      <c r="C8" s="10">
        <v>35</v>
      </c>
      <c r="D8" s="10">
        <v>5</v>
      </c>
      <c r="E8" s="10">
        <v>117</v>
      </c>
      <c r="F8" s="10">
        <v>123</v>
      </c>
      <c r="G8" s="10">
        <v>-13</v>
      </c>
      <c r="H8" s="10">
        <v>490</v>
      </c>
      <c r="I8" s="10">
        <v>-0.10000000000000001</v>
      </c>
      <c r="J8" s="11">
        <f>$P$2*(43.1667*POWER(I8/100,5)-8.4444*POWER(I8/100,4)-12.0278*POWER(I8/100,3)+12.8611*POWER(I8/100,2)+5.4167*(I8/100)+1)</f>
        <v>4.8348425082188791e-03</v>
      </c>
      <c r="K8" s="11">
        <f t="shared" si="0"/>
        <v>2.4174212541094395e-02</v>
      </c>
      <c r="L8" s="11">
        <v>2.0833333333333298e-03</v>
      </c>
      <c r="M8" s="12">
        <f t="shared" si="1"/>
        <v>0.56406596452053304</v>
      </c>
    </row>
    <row r="9" ht="22.5" customHeight="1">
      <c r="A9" s="9" t="s">
        <v>27</v>
      </c>
      <c r="B9" s="10" t="s">
        <v>23</v>
      </c>
      <c r="C9" s="10">
        <v>40</v>
      </c>
      <c r="D9" s="10">
        <v>5</v>
      </c>
      <c r="E9" s="10">
        <v>106</v>
      </c>
      <c r="F9" s="10">
        <v>75</v>
      </c>
      <c r="G9" s="10">
        <v>14</v>
      </c>
      <c r="H9" s="10">
        <v>521</v>
      </c>
      <c r="I9" s="10">
        <v>0.59999999999999998</v>
      </c>
      <c r="J9" s="11">
        <f>$P$2*(43.1667*POWER(I9/100,5)-8.4444*POWER(I9/100,4)-12.0278*POWER(I9/100,3)+12.8611*POWER(I9/100,2)+5.4167*(I9/100)+1)</f>
        <v>5.0213362061864251e-03</v>
      </c>
      <c r="K9" s="11">
        <f t="shared" si="0"/>
        <v>2.5106681030932124e-02</v>
      </c>
      <c r="L9" s="11"/>
      <c r="M9" s="12">
        <f t="shared" si="1"/>
        <v>0.5891726455514652</v>
      </c>
    </row>
    <row r="10" ht="22.5" customHeight="1">
      <c r="A10" s="9" t="s">
        <v>28</v>
      </c>
      <c r="B10" s="10" t="s">
        <v>23</v>
      </c>
      <c r="C10" s="10">
        <v>45</v>
      </c>
      <c r="D10" s="10">
        <v>5</v>
      </c>
      <c r="E10" s="10">
        <v>189</v>
      </c>
      <c r="F10" s="10">
        <v>85</v>
      </c>
      <c r="G10" s="10">
        <v>16</v>
      </c>
      <c r="H10" s="10">
        <v>624</v>
      </c>
      <c r="I10" s="10">
        <v>2.1000000000000001</v>
      </c>
      <c r="J10" s="11">
        <f>$P$2*(43.1667*POWER(I10/100,5)-8.4444*POWER(I10/100,4)-12.0278*POWER(I10/100,3)+12.8611*POWER(I10/100,2)+5.4167*(I10/100)+1)</f>
        <v>5.4410882830986402e-03</v>
      </c>
      <c r="K10" s="11">
        <f t="shared" ref="K10:K16" si="2">J10*D10</f>
        <v>2.7205441415493199e-02</v>
      </c>
      <c r="L10" s="11"/>
      <c r="M10" s="12">
        <f t="shared" ref="M10:M16" si="3">$P$3+SUM(K$2:K10)+SUM(L$2:L10)</f>
        <v>0.61637808696695839</v>
      </c>
    </row>
    <row r="11" ht="22.5" customHeight="1">
      <c r="A11" s="9" t="s">
        <v>29</v>
      </c>
      <c r="B11" s="10" t="s">
        <v>30</v>
      </c>
      <c r="C11" s="10">
        <v>50</v>
      </c>
      <c r="D11" s="10">
        <v>5</v>
      </c>
      <c r="E11" s="10">
        <v>84</v>
      </c>
      <c r="F11" s="10">
        <v>69</v>
      </c>
      <c r="G11" s="10">
        <v>40</v>
      </c>
      <c r="H11" s="10">
        <v>638</v>
      </c>
      <c r="I11" s="10">
        <v>0.29999999999999999</v>
      </c>
      <c r="J11" s="11">
        <f>$P$2*(43.1667*POWER(I11/100,5)-8.4444*POWER(I11/100,4)-12.0278*POWER(I11/100,3)+12.8611*POWER(I11/100,2)+5.4167*(I11/100)+1)</f>
        <v>4.940665743980035e-03</v>
      </c>
      <c r="K11" s="11">
        <f t="shared" si="2"/>
        <v>2.4703328719900174e-02</v>
      </c>
      <c r="L11" s="11"/>
      <c r="M11" s="12">
        <f t="shared" si="3"/>
        <v>0.6410814156868585</v>
      </c>
    </row>
    <row r="12" ht="22.5" customHeight="1">
      <c r="A12" s="9" t="s">
        <v>31</v>
      </c>
      <c r="B12" s="10" t="s">
        <v>30</v>
      </c>
      <c r="C12" s="10">
        <v>55</v>
      </c>
      <c r="D12" s="10">
        <v>5</v>
      </c>
      <c r="E12" s="10">
        <v>83</v>
      </c>
      <c r="F12" s="10">
        <v>79</v>
      </c>
      <c r="G12" s="10">
        <v>50</v>
      </c>
      <c r="H12" s="10">
        <v>642</v>
      </c>
      <c r="I12" s="10">
        <v>0.10000000000000001</v>
      </c>
      <c r="J12" s="11">
        <f>$P$2*(43.1667*POWER(I12/100,5)-8.4444*POWER(I12/100,4)-12.0278*POWER(I12/100,3)+12.8611*POWER(I12/100,2)+5.4167*(I12/100)+1)</f>
        <v>4.8875047523934652e-03</v>
      </c>
      <c r="K12" s="11">
        <f t="shared" si="2"/>
        <v>2.4437523761967325e-02</v>
      </c>
      <c r="L12" s="11">
        <v>3.4722222222222199e-03</v>
      </c>
      <c r="M12" s="12">
        <f t="shared" si="3"/>
        <v>0.66899116167104811</v>
      </c>
    </row>
    <row r="13" ht="22.5" customHeight="1">
      <c r="A13" s="9" t="s">
        <v>32</v>
      </c>
      <c r="B13" s="10" t="s">
        <v>30</v>
      </c>
      <c r="C13" s="10">
        <v>60</v>
      </c>
      <c r="D13" s="10">
        <v>5</v>
      </c>
      <c r="E13" s="10">
        <v>143</v>
      </c>
      <c r="F13" s="10">
        <v>120</v>
      </c>
      <c r="G13" s="10">
        <v>7</v>
      </c>
      <c r="H13" s="10">
        <v>666</v>
      </c>
      <c r="I13" s="10">
        <v>0.5</v>
      </c>
      <c r="J13" s="11">
        <f>$P$2*(43.1667*POWER(I13/100,5)-8.4444*POWER(I13/100,4)-12.0278*POWER(I13/100,3)+12.8611*POWER(I13/100,2)+5.4167*(I13/100)+1)</f>
        <v>4.9943226612326535e-03</v>
      </c>
      <c r="K13" s="11">
        <f t="shared" si="2"/>
        <v>2.4971613306163268e-02</v>
      </c>
      <c r="L13" s="11"/>
      <c r="M13" s="12">
        <f t="shared" si="3"/>
        <v>0.69396277497721137</v>
      </c>
    </row>
    <row r="14" ht="22.5" customHeight="1">
      <c r="A14" s="9" t="s">
        <v>33</v>
      </c>
      <c r="B14" s="10" t="s">
        <v>23</v>
      </c>
      <c r="C14" s="10">
        <v>65</v>
      </c>
      <c r="D14" s="10">
        <v>5</v>
      </c>
      <c r="E14" s="10">
        <v>127</v>
      </c>
      <c r="F14" s="10">
        <v>103</v>
      </c>
      <c r="G14" s="10">
        <v>17</v>
      </c>
      <c r="H14" s="10">
        <v>690</v>
      </c>
      <c r="I14" s="10">
        <v>0.5</v>
      </c>
      <c r="J14" s="11">
        <f>$P$2*(43.1667*POWER(I14/100,5)-8.4444*POWER(I14/100,4)-12.0278*POWER(I14/100,3)+12.8611*POWER(I14/100,2)+5.4167*(I14/100)+1)</f>
        <v>4.9943226612326535e-03</v>
      </c>
      <c r="K14" s="11">
        <f t="shared" si="2"/>
        <v>2.4971613306163268e-02</v>
      </c>
      <c r="L14" s="11"/>
      <c r="M14" s="12">
        <f t="shared" si="3"/>
        <v>0.71893438828337464</v>
      </c>
    </row>
    <row r="15" ht="22.5" customHeight="1">
      <c r="A15" s="9" t="s">
        <v>34</v>
      </c>
      <c r="B15" s="10" t="s">
        <v>23</v>
      </c>
      <c r="C15" s="10">
        <v>70</v>
      </c>
      <c r="D15" s="10">
        <v>5</v>
      </c>
      <c r="E15" s="10">
        <v>68</v>
      </c>
      <c r="F15" s="10">
        <v>154</v>
      </c>
      <c r="G15" s="10">
        <v>54</v>
      </c>
      <c r="H15" s="10">
        <v>603</v>
      </c>
      <c r="I15" s="10">
        <v>-1.7</v>
      </c>
      <c r="J15" s="11">
        <f>$P$2*(43.1667*POWER(I15/100,5)-8.4444*POWER(I15/100,4)-12.0278*POWER(I15/100,3)+12.8611*POWER(I15/100,2)+5.4167*(I15/100)+1)</f>
        <v>4.4318326300992247e-03</v>
      </c>
      <c r="K15" s="11">
        <f t="shared" si="2"/>
        <v>2.2159163150496125e-02</v>
      </c>
      <c r="L15" s="11"/>
      <c r="M15" s="12">
        <f t="shared" si="3"/>
        <v>0.74109355143387068</v>
      </c>
    </row>
    <row r="16" ht="22.5" customHeight="1">
      <c r="A16" s="14" t="s">
        <v>35</v>
      </c>
      <c r="B16" s="15" t="s">
        <v>23</v>
      </c>
      <c r="C16" s="15">
        <v>73.930000000000007</v>
      </c>
      <c r="D16" s="15">
        <v>3.9300000000000002</v>
      </c>
      <c r="E16" s="15">
        <v>35</v>
      </c>
      <c r="F16" s="15">
        <v>152</v>
      </c>
      <c r="G16" s="15">
        <v>29</v>
      </c>
      <c r="H16" s="15">
        <v>487</v>
      </c>
      <c r="I16" s="15">
        <v>-3</v>
      </c>
      <c r="J16" s="16">
        <f>$P$2*(43.1667*POWER(I16/100,5)-8.4444*POWER(I16/100,4)-12.0278*POWER(I16/100,3)+12.8611*POWER(I16/100,2)+5.4167*(I16/100)+1)</f>
        <v>4.1289833068030067e-03</v>
      </c>
      <c r="K16" s="16">
        <f t="shared" si="2"/>
        <v>1.6226904395735816e-02</v>
      </c>
      <c r="L16" s="16"/>
      <c r="M16" s="17">
        <f t="shared" si="3"/>
        <v>0.7573204558296065</v>
      </c>
    </row>
    <row r="17" ht="15.75" customHeight="1">
      <c r="J17" s="18">
        <f>AVERAGE(J2:J16)</f>
        <v>5.0546610543866248e-03</v>
      </c>
      <c r="K17" s="19">
        <f>SUM(K2:K16)</f>
        <v>0.37468156694071764</v>
      </c>
    </row>
    <row r="18" ht="15.75" customHeight="1">
      <c r="J18" s="20" t="s">
        <v>36</v>
      </c>
      <c r="K18" s="21" t="s">
        <v>37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F00FD-00CF-4AB2-8979-005600250007}" type="custom" allowBlank="1" errorStyle="stop" imeMode="noControl" operator="between" showDropDown="1" showErrorMessage="0" showInputMessage="0">
          <x14:formula1>
            <xm:f>AND(ISNUMBER(C2),(NOT(OR(NOT(ISERROR(DATEVALUE(C2))),AND(ISNUMBER(C2),LEFT(CELL("format",C2))="D")))))</xm:f>
          </x14:formula1>
          <x14:formula2>
            <xm:f>0</xm:f>
          </x14:formula2>
          <xm:sqref>C2:F16 I2:I16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B1" zoomScale="80" workbookViewId="0">
      <selection activeCell="I27" activeCellId="0" sqref="I27"/>
    </sheetView>
  </sheetViews>
  <sheetFormatPr defaultColWidth="12.6328125" defaultRowHeight="15.75" customHeight="1"/>
  <sheetData>
    <row r="1" ht="15.7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7</v>
      </c>
      <c r="G1" s="7" t="s">
        <v>8</v>
      </c>
    </row>
    <row r="2" ht="15.75">
      <c r="A2" s="7" t="s">
        <v>38</v>
      </c>
      <c r="B2" s="7">
        <v>0.10000000000000001</v>
      </c>
      <c r="C2" s="7">
        <v>0.10000000000000001</v>
      </c>
      <c r="D2" s="7">
        <v>0</v>
      </c>
      <c r="E2" s="7">
        <v>1</v>
      </c>
      <c r="F2" s="7">
        <v>-1</v>
      </c>
      <c r="G2" s="7">
        <v>-1.3</v>
      </c>
    </row>
    <row r="3" ht="15.75">
      <c r="A3" s="7" t="s">
        <v>39</v>
      </c>
      <c r="B3" s="7">
        <v>0.20000000000000001</v>
      </c>
      <c r="C3" s="7">
        <v>0.10000000000000001</v>
      </c>
      <c r="D3" s="7">
        <v>0</v>
      </c>
      <c r="E3" s="7">
        <v>1</v>
      </c>
      <c r="F3" s="7">
        <v>-3</v>
      </c>
      <c r="G3" s="7">
        <v>-1.2</v>
      </c>
    </row>
    <row r="4" ht="15.75">
      <c r="A4" s="7" t="s">
        <v>40</v>
      </c>
      <c r="B4" s="7">
        <v>0.29999999999999999</v>
      </c>
      <c r="C4" s="7">
        <v>0.10000000000000001</v>
      </c>
      <c r="D4" s="7">
        <v>1</v>
      </c>
      <c r="E4" s="7">
        <v>1</v>
      </c>
      <c r="F4" s="7">
        <v>-2</v>
      </c>
      <c r="G4" s="7">
        <v>0.10000000000000001</v>
      </c>
    </row>
    <row r="5" ht="15.75">
      <c r="A5" s="7" t="s">
        <v>41</v>
      </c>
      <c r="B5" s="7">
        <v>0.40000000000000002</v>
      </c>
      <c r="C5" s="7">
        <v>0.10000000000000001</v>
      </c>
      <c r="D5" s="7">
        <v>1</v>
      </c>
      <c r="E5" s="7">
        <v>1</v>
      </c>
      <c r="F5" s="7">
        <v>-2</v>
      </c>
      <c r="G5" s="7">
        <v>0.20000000000000001</v>
      </c>
    </row>
    <row r="6" ht="15.75">
      <c r="A6" s="7" t="s">
        <v>42</v>
      </c>
      <c r="B6" s="7">
        <v>0.5</v>
      </c>
      <c r="C6" s="7">
        <v>0.10000000000000001</v>
      </c>
      <c r="D6" s="7">
        <v>0</v>
      </c>
      <c r="E6" s="7">
        <v>2</v>
      </c>
      <c r="F6" s="7">
        <v>-5</v>
      </c>
      <c r="G6" s="7">
        <v>-2.3999999999999999</v>
      </c>
    </row>
    <row r="7" ht="15.75">
      <c r="A7" s="7" t="s">
        <v>43</v>
      </c>
      <c r="B7" s="7">
        <v>0.59999999999999998</v>
      </c>
      <c r="C7" s="7">
        <v>0.10000000000000001</v>
      </c>
      <c r="D7" s="7">
        <v>1</v>
      </c>
      <c r="E7" s="7">
        <v>1</v>
      </c>
      <c r="F7" s="7">
        <v>-4</v>
      </c>
      <c r="G7" s="7">
        <v>0.29999999999999999</v>
      </c>
    </row>
    <row r="8" ht="15.75">
      <c r="A8" s="7" t="s">
        <v>44</v>
      </c>
      <c r="B8" s="7">
        <v>0.69999999999999996</v>
      </c>
      <c r="C8" s="7">
        <v>0.10000000000000001</v>
      </c>
      <c r="D8" s="7">
        <v>5</v>
      </c>
      <c r="E8" s="7">
        <v>0</v>
      </c>
      <c r="F8" s="7">
        <v>1</v>
      </c>
      <c r="G8" s="7">
        <v>4.9000000000000004</v>
      </c>
    </row>
    <row r="9" ht="15.75">
      <c r="A9" s="7" t="s">
        <v>45</v>
      </c>
      <c r="B9" s="7">
        <v>0.80000000000000004</v>
      </c>
      <c r="C9" s="7">
        <v>0.10000000000000001</v>
      </c>
      <c r="D9" s="7">
        <v>11</v>
      </c>
      <c r="E9" s="7">
        <v>0</v>
      </c>
      <c r="F9" s="7">
        <v>11</v>
      </c>
      <c r="G9" s="7">
        <v>10.9</v>
      </c>
    </row>
    <row r="10" ht="15.75">
      <c r="A10" s="7" t="s">
        <v>46</v>
      </c>
      <c r="B10" s="7">
        <v>0.90000000000000002</v>
      </c>
      <c r="C10" s="7">
        <v>0.10000000000000001</v>
      </c>
      <c r="D10" s="7">
        <v>11</v>
      </c>
      <c r="E10" s="7">
        <v>0</v>
      </c>
      <c r="F10" s="7">
        <v>22</v>
      </c>
      <c r="G10" s="7">
        <v>11</v>
      </c>
    </row>
    <row r="11" ht="15.75">
      <c r="A11" s="7" t="s">
        <v>47</v>
      </c>
      <c r="B11" s="7">
        <v>1</v>
      </c>
      <c r="C11" s="7">
        <v>0.10000000000000001</v>
      </c>
      <c r="D11" s="7">
        <v>11</v>
      </c>
      <c r="E11" s="7">
        <v>2</v>
      </c>
      <c r="F11" s="7">
        <v>32</v>
      </c>
      <c r="G11" s="7">
        <v>9.4000000000000004</v>
      </c>
    </row>
    <row r="12" ht="15.75">
      <c r="A12" s="7" t="s">
        <v>48</v>
      </c>
      <c r="B12" s="7">
        <v>1.1000000000000001</v>
      </c>
      <c r="C12" s="7">
        <v>0.10000000000000001</v>
      </c>
      <c r="D12" s="7">
        <v>7</v>
      </c>
      <c r="E12" s="7">
        <v>3</v>
      </c>
      <c r="F12" s="7">
        <v>37</v>
      </c>
      <c r="G12" s="7">
        <v>4.7999999999999998</v>
      </c>
    </row>
    <row r="13" ht="15.75">
      <c r="A13" s="7" t="s">
        <v>49</v>
      </c>
      <c r="B13" s="7">
        <v>1.2</v>
      </c>
      <c r="C13" s="7">
        <v>0.10000000000000001</v>
      </c>
      <c r="D13" s="7">
        <v>6</v>
      </c>
      <c r="E13" s="7">
        <v>0</v>
      </c>
      <c r="F13" s="7">
        <v>42</v>
      </c>
      <c r="G13" s="7">
        <v>5.7999999999999998</v>
      </c>
    </row>
    <row r="14" ht="15.75">
      <c r="A14" s="7" t="s">
        <v>50</v>
      </c>
      <c r="B14" s="7">
        <v>1.3</v>
      </c>
      <c r="C14" s="7">
        <v>0.10000000000000001</v>
      </c>
      <c r="D14" s="7">
        <v>12</v>
      </c>
      <c r="E14" s="7">
        <v>0</v>
      </c>
      <c r="F14" s="7">
        <v>54</v>
      </c>
      <c r="G14" s="7">
        <v>11.5</v>
      </c>
    </row>
    <row r="15" ht="15.75">
      <c r="A15" s="7" t="s">
        <v>51</v>
      </c>
      <c r="B15" s="7">
        <v>1.3999999999999999</v>
      </c>
      <c r="C15" s="7">
        <v>0.10000000000000001</v>
      </c>
      <c r="D15" s="7">
        <v>4</v>
      </c>
      <c r="E15" s="7">
        <v>0</v>
      </c>
      <c r="F15" s="7">
        <v>58</v>
      </c>
      <c r="G15" s="7">
        <v>4.2000000000000002</v>
      </c>
    </row>
    <row r="16" ht="15.75">
      <c r="A16" s="7" t="s">
        <v>52</v>
      </c>
      <c r="B16" s="7">
        <v>1.5</v>
      </c>
      <c r="C16" s="7">
        <v>0.10000000000000001</v>
      </c>
      <c r="D16" s="7">
        <v>1</v>
      </c>
      <c r="E16" s="7">
        <v>0</v>
      </c>
      <c r="F16" s="7">
        <v>59</v>
      </c>
      <c r="G16" s="7">
        <v>1.2</v>
      </c>
    </row>
    <row r="17" ht="15.75">
      <c r="A17" s="7" t="s">
        <v>53</v>
      </c>
      <c r="B17" s="7">
        <v>1.6000000000000001</v>
      </c>
      <c r="C17" s="7">
        <v>0.10000000000000001</v>
      </c>
      <c r="D17" s="7">
        <v>2</v>
      </c>
      <c r="E17" s="7">
        <v>0</v>
      </c>
      <c r="F17" s="7">
        <v>61</v>
      </c>
      <c r="G17" s="7">
        <v>2</v>
      </c>
    </row>
    <row r="18" ht="15.75">
      <c r="A18" s="7" t="s">
        <v>54</v>
      </c>
      <c r="B18" s="7">
        <v>1.7</v>
      </c>
      <c r="C18" s="7">
        <v>0.10000000000000001</v>
      </c>
      <c r="D18" s="7">
        <v>2</v>
      </c>
      <c r="E18" s="7">
        <v>1</v>
      </c>
      <c r="F18" s="7">
        <v>62</v>
      </c>
      <c r="G18" s="7">
        <v>0.90000000000000002</v>
      </c>
    </row>
    <row r="19" ht="15.75">
      <c r="A19" s="7" t="s">
        <v>55</v>
      </c>
      <c r="B19" s="7">
        <v>1.8</v>
      </c>
      <c r="C19" s="7">
        <v>0.10000000000000001</v>
      </c>
      <c r="D19" s="7">
        <v>0</v>
      </c>
      <c r="E19" s="7">
        <v>3</v>
      </c>
      <c r="F19" s="7">
        <v>60</v>
      </c>
      <c r="G19" s="7">
        <v>-2.7000000000000002</v>
      </c>
    </row>
    <row r="20" ht="15.75">
      <c r="A20" s="7" t="s">
        <v>56</v>
      </c>
      <c r="B20" s="7">
        <v>1.8999999999999999</v>
      </c>
      <c r="C20" s="7">
        <v>0.10000000000000001</v>
      </c>
      <c r="D20" s="7">
        <v>6</v>
      </c>
      <c r="E20" s="7">
        <v>0</v>
      </c>
      <c r="F20" s="7">
        <v>66</v>
      </c>
      <c r="G20" s="7">
        <v>6.4000000000000004</v>
      </c>
    </row>
    <row r="21" ht="15.75">
      <c r="A21" s="7" t="s">
        <v>57</v>
      </c>
      <c r="B21" s="7">
        <v>2</v>
      </c>
      <c r="C21" s="7">
        <v>0.10000000000000001</v>
      </c>
      <c r="D21" s="7">
        <v>11</v>
      </c>
      <c r="E21" s="7">
        <v>0</v>
      </c>
      <c r="F21" s="7">
        <v>77</v>
      </c>
      <c r="G21" s="7">
        <v>10.800000000000001</v>
      </c>
    </row>
    <row r="22" ht="15.75">
      <c r="A22" s="7" t="s">
        <v>58</v>
      </c>
      <c r="B22" s="7">
        <v>2.1000000000000001</v>
      </c>
      <c r="C22" s="7">
        <v>0.10000000000000001</v>
      </c>
      <c r="D22" s="7">
        <v>4</v>
      </c>
      <c r="E22" s="7">
        <v>2</v>
      </c>
      <c r="F22" s="7">
        <v>79</v>
      </c>
      <c r="G22" s="7">
        <v>2</v>
      </c>
    </row>
    <row r="23" ht="15.75">
      <c r="A23" s="7" t="s">
        <v>59</v>
      </c>
      <c r="B23" s="7">
        <v>2.2000000000000002</v>
      </c>
      <c r="C23" s="7">
        <v>0.10000000000000001</v>
      </c>
      <c r="D23" s="7">
        <v>7</v>
      </c>
      <c r="E23" s="7">
        <v>0</v>
      </c>
      <c r="F23" s="7">
        <v>86</v>
      </c>
      <c r="G23" s="7">
        <v>6.9000000000000004</v>
      </c>
    </row>
    <row r="24" ht="15.75">
      <c r="A24" s="7" t="s">
        <v>60</v>
      </c>
      <c r="B24" s="7">
        <v>2.2999999999999998</v>
      </c>
      <c r="C24" s="7">
        <v>0.10000000000000001</v>
      </c>
      <c r="D24" s="7">
        <v>6</v>
      </c>
      <c r="E24" s="7">
        <v>0</v>
      </c>
      <c r="F24" s="7">
        <v>92</v>
      </c>
      <c r="G24" s="7">
        <v>5.7999999999999998</v>
      </c>
    </row>
    <row r="25" ht="15.75">
      <c r="A25" s="7" t="s">
        <v>61</v>
      </c>
      <c r="B25" s="7">
        <v>2.3999999999999999</v>
      </c>
      <c r="C25" s="7">
        <v>0.10000000000000001</v>
      </c>
      <c r="D25" s="7">
        <v>2</v>
      </c>
      <c r="E25" s="7">
        <v>0</v>
      </c>
      <c r="F25" s="7">
        <v>94</v>
      </c>
      <c r="G25" s="7">
        <v>1.8999999999999999</v>
      </c>
    </row>
    <row r="26" ht="15.75">
      <c r="A26" s="7" t="s">
        <v>62</v>
      </c>
      <c r="B26" s="7">
        <v>2.5</v>
      </c>
      <c r="C26" s="7">
        <v>0.10000000000000001</v>
      </c>
      <c r="D26" s="7">
        <v>1</v>
      </c>
      <c r="E26" s="7">
        <v>1</v>
      </c>
      <c r="F26" s="7">
        <v>93</v>
      </c>
      <c r="G26" s="7">
        <v>-0.59999999999999998</v>
      </c>
    </row>
    <row r="27" ht="15.75">
      <c r="A27" s="7" t="s">
        <v>63</v>
      </c>
      <c r="B27" s="7">
        <v>2.6000000000000001</v>
      </c>
      <c r="C27" s="7">
        <v>0.10000000000000001</v>
      </c>
      <c r="D27" s="7">
        <v>0</v>
      </c>
      <c r="E27" s="7">
        <v>4</v>
      </c>
      <c r="F27" s="7">
        <v>89</v>
      </c>
      <c r="G27" s="7">
        <v>-3.5</v>
      </c>
    </row>
    <row r="28" ht="15.75">
      <c r="A28" s="7" t="s">
        <v>64</v>
      </c>
      <c r="B28" s="7">
        <v>2.7000000000000002</v>
      </c>
      <c r="C28" s="7">
        <v>0.10000000000000001</v>
      </c>
      <c r="D28" s="7">
        <v>4</v>
      </c>
      <c r="E28" s="7">
        <v>1</v>
      </c>
      <c r="F28" s="7">
        <v>92</v>
      </c>
      <c r="G28" s="7">
        <v>2.7999999999999998</v>
      </c>
    </row>
    <row r="29" ht="15.75">
      <c r="A29" s="7" t="s">
        <v>65</v>
      </c>
      <c r="B29" s="7">
        <v>2.7999999999999998</v>
      </c>
      <c r="C29" s="7">
        <v>0.10000000000000001</v>
      </c>
      <c r="D29" s="7">
        <v>0</v>
      </c>
      <c r="E29" s="7">
        <v>2</v>
      </c>
      <c r="F29" s="7">
        <v>91</v>
      </c>
      <c r="G29" s="7">
        <v>-1.6000000000000001</v>
      </c>
    </row>
    <row r="30" ht="15.75">
      <c r="A30" s="7" t="s">
        <v>66</v>
      </c>
      <c r="B30" s="7">
        <v>2.8999999999999999</v>
      </c>
      <c r="C30" s="7">
        <v>0.10000000000000001</v>
      </c>
      <c r="D30" s="7">
        <v>0</v>
      </c>
      <c r="E30" s="7">
        <v>2</v>
      </c>
      <c r="F30" s="7">
        <v>89</v>
      </c>
      <c r="G30" s="7">
        <v>-1.8</v>
      </c>
    </row>
    <row r="31" ht="15.75">
      <c r="A31" s="7" t="s">
        <v>67</v>
      </c>
      <c r="B31" s="7">
        <v>3</v>
      </c>
      <c r="C31" s="7">
        <v>0.10000000000000001</v>
      </c>
      <c r="D31" s="7">
        <v>0</v>
      </c>
      <c r="E31" s="7">
        <v>3</v>
      </c>
      <c r="F31" s="7">
        <v>86</v>
      </c>
      <c r="G31" s="7">
        <v>-2.7999999999999998</v>
      </c>
    </row>
    <row r="32" ht="15.75">
      <c r="A32" s="7" t="s">
        <v>68</v>
      </c>
      <c r="B32" s="7">
        <v>3.1000000000000001</v>
      </c>
      <c r="C32" s="7">
        <v>0.10000000000000001</v>
      </c>
      <c r="D32" s="7">
        <v>7</v>
      </c>
      <c r="E32" s="7">
        <v>0</v>
      </c>
      <c r="F32" s="7">
        <v>93</v>
      </c>
      <c r="G32" s="7">
        <v>7.4000000000000004</v>
      </c>
    </row>
    <row r="33" ht="15.75">
      <c r="A33" s="7" t="s">
        <v>69</v>
      </c>
      <c r="B33" s="7">
        <v>3.2000000000000002</v>
      </c>
      <c r="C33" s="7">
        <v>0.10000000000000001</v>
      </c>
      <c r="D33" s="7">
        <v>7</v>
      </c>
      <c r="E33" s="7">
        <v>0</v>
      </c>
      <c r="F33" s="7">
        <v>101</v>
      </c>
      <c r="G33" s="7">
        <v>7.2999999999999998</v>
      </c>
    </row>
    <row r="34" ht="15.75">
      <c r="A34" s="7" t="s">
        <v>70</v>
      </c>
      <c r="B34" s="7">
        <v>3.2999999999999998</v>
      </c>
      <c r="C34" s="7">
        <v>0.10000000000000001</v>
      </c>
      <c r="D34" s="7">
        <v>7</v>
      </c>
      <c r="E34" s="7">
        <v>0</v>
      </c>
      <c r="F34" s="7">
        <v>107</v>
      </c>
      <c r="G34" s="7">
        <v>6.7999999999999998</v>
      </c>
    </row>
    <row r="35" ht="15.75">
      <c r="A35" s="7" t="s">
        <v>71</v>
      </c>
      <c r="B35" s="7">
        <v>3.3999999999999999</v>
      </c>
      <c r="C35" s="7">
        <v>0.10000000000000001</v>
      </c>
      <c r="D35" s="7">
        <v>9</v>
      </c>
      <c r="E35" s="7">
        <v>0</v>
      </c>
      <c r="F35" s="7">
        <v>116</v>
      </c>
      <c r="G35" s="7">
        <v>8.5999999999999996</v>
      </c>
    </row>
    <row r="36" ht="15.75">
      <c r="A36" s="7" t="s">
        <v>72</v>
      </c>
      <c r="B36" s="7">
        <v>3.5</v>
      </c>
      <c r="C36" s="7">
        <v>0.10000000000000001</v>
      </c>
      <c r="D36" s="7">
        <v>8</v>
      </c>
      <c r="E36" s="7">
        <v>0</v>
      </c>
      <c r="F36" s="7">
        <v>124</v>
      </c>
      <c r="G36" s="7">
        <v>7.5</v>
      </c>
    </row>
    <row r="37" ht="15.75">
      <c r="A37" s="7" t="s">
        <v>73</v>
      </c>
      <c r="B37" s="7">
        <v>3.6000000000000001</v>
      </c>
      <c r="C37" s="7">
        <v>0.10000000000000001</v>
      </c>
      <c r="D37" s="7">
        <v>6</v>
      </c>
      <c r="E37" s="7">
        <v>0</v>
      </c>
      <c r="F37" s="7">
        <v>130</v>
      </c>
      <c r="G37" s="7">
        <v>6.2999999999999998</v>
      </c>
    </row>
    <row r="38" ht="15.75">
      <c r="A38" s="7" t="s">
        <v>74</v>
      </c>
      <c r="B38" s="7">
        <v>3.7000000000000002</v>
      </c>
      <c r="C38" s="7">
        <v>0.10000000000000001</v>
      </c>
      <c r="D38" s="7">
        <v>4</v>
      </c>
      <c r="E38" s="7">
        <v>0</v>
      </c>
      <c r="F38" s="7">
        <v>133</v>
      </c>
      <c r="G38" s="7">
        <v>3.5</v>
      </c>
    </row>
    <row r="39" ht="15.75">
      <c r="A39" s="7" t="s">
        <v>75</v>
      </c>
      <c r="B39" s="7">
        <v>3.7999999999999998</v>
      </c>
      <c r="C39" s="7">
        <v>0.10000000000000001</v>
      </c>
      <c r="D39" s="7">
        <v>9</v>
      </c>
      <c r="E39" s="7">
        <v>0</v>
      </c>
      <c r="F39" s="7">
        <v>142</v>
      </c>
      <c r="G39" s="7">
        <v>8.8000000000000007</v>
      </c>
    </row>
    <row r="40" ht="15.75">
      <c r="A40" s="7" t="s">
        <v>76</v>
      </c>
      <c r="B40" s="7">
        <v>3.8999999999999999</v>
      </c>
      <c r="C40" s="7">
        <v>0.10000000000000001</v>
      </c>
      <c r="D40" s="7">
        <v>13</v>
      </c>
      <c r="E40" s="7">
        <v>0</v>
      </c>
      <c r="F40" s="7">
        <v>155</v>
      </c>
      <c r="G40" s="7">
        <v>12.5</v>
      </c>
    </row>
    <row r="41" ht="15.75">
      <c r="A41" s="7" t="s">
        <v>77</v>
      </c>
      <c r="B41" s="7">
        <v>4</v>
      </c>
      <c r="C41" s="7">
        <v>0.10000000000000001</v>
      </c>
      <c r="D41" s="7">
        <v>11</v>
      </c>
      <c r="E41" s="7">
        <v>0</v>
      </c>
      <c r="F41" s="7">
        <v>166</v>
      </c>
      <c r="G41" s="7">
        <v>11.199999999999999</v>
      </c>
    </row>
    <row r="42" ht="15.75">
      <c r="A42" s="7" t="s">
        <v>78</v>
      </c>
      <c r="B42" s="7">
        <v>4.0999999999999996</v>
      </c>
      <c r="C42" s="7">
        <v>0.10000000000000001</v>
      </c>
      <c r="D42" s="7">
        <v>5</v>
      </c>
      <c r="E42" s="7">
        <v>2</v>
      </c>
      <c r="F42" s="7">
        <v>169</v>
      </c>
      <c r="G42" s="7">
        <v>2.6000000000000001</v>
      </c>
    </row>
    <row r="43" ht="15.75">
      <c r="A43" s="7" t="s">
        <v>79</v>
      </c>
      <c r="B43" s="7">
        <v>4.2000000000000002</v>
      </c>
      <c r="C43" s="7">
        <v>0.10000000000000001</v>
      </c>
      <c r="D43" s="7">
        <v>2</v>
      </c>
      <c r="E43" s="7">
        <v>1</v>
      </c>
      <c r="F43" s="7">
        <v>169</v>
      </c>
      <c r="G43" s="7">
        <v>0.80000000000000004</v>
      </c>
    </row>
    <row r="44" ht="15.75">
      <c r="A44" s="7" t="s">
        <v>80</v>
      </c>
      <c r="B44" s="7">
        <v>4.2999999999999998</v>
      </c>
      <c r="C44" s="7">
        <v>0.10000000000000001</v>
      </c>
      <c r="D44" s="7">
        <v>9</v>
      </c>
      <c r="E44" s="7">
        <v>0</v>
      </c>
      <c r="F44" s="7">
        <v>178</v>
      </c>
      <c r="G44" s="7">
        <v>8.8000000000000007</v>
      </c>
    </row>
    <row r="45" ht="15.75">
      <c r="A45" s="7" t="s">
        <v>81</v>
      </c>
      <c r="B45" s="7">
        <v>4.4000000000000004</v>
      </c>
      <c r="C45" s="7">
        <v>0.10000000000000001</v>
      </c>
      <c r="D45" s="7">
        <v>15</v>
      </c>
      <c r="E45" s="7">
        <v>0</v>
      </c>
      <c r="F45" s="7">
        <v>193</v>
      </c>
      <c r="G45" s="7">
        <v>14.9</v>
      </c>
    </row>
    <row r="46" ht="15.75">
      <c r="A46" s="7" t="s">
        <v>82</v>
      </c>
      <c r="B46" s="7">
        <v>4.5</v>
      </c>
      <c r="C46" s="7">
        <v>0.10000000000000001</v>
      </c>
      <c r="D46" s="7">
        <v>13</v>
      </c>
      <c r="E46" s="7">
        <v>0</v>
      </c>
      <c r="F46" s="7">
        <v>206</v>
      </c>
      <c r="G46" s="7">
        <v>12.9</v>
      </c>
    </row>
    <row r="47" ht="15.75">
      <c r="A47" s="7" t="s">
        <v>83</v>
      </c>
      <c r="B47" s="7">
        <v>4.5999999999999996</v>
      </c>
      <c r="C47" s="7">
        <v>0.10000000000000001</v>
      </c>
      <c r="D47" s="7">
        <v>4</v>
      </c>
      <c r="E47" s="7">
        <v>0</v>
      </c>
      <c r="F47" s="7">
        <v>210</v>
      </c>
      <c r="G47" s="7">
        <v>3.7999999999999998</v>
      </c>
    </row>
    <row r="48" ht="15.75">
      <c r="A48" s="7" t="s">
        <v>84</v>
      </c>
      <c r="B48" s="7">
        <v>4.7000000000000002</v>
      </c>
      <c r="C48" s="7">
        <v>0.10000000000000001</v>
      </c>
      <c r="D48" s="7">
        <v>2</v>
      </c>
      <c r="E48" s="7">
        <v>0</v>
      </c>
      <c r="F48" s="7">
        <v>212</v>
      </c>
      <c r="G48" s="7">
        <v>2.5</v>
      </c>
    </row>
    <row r="49" ht="15.75">
      <c r="A49" s="7" t="s">
        <v>85</v>
      </c>
      <c r="B49" s="7">
        <v>4.7999999999999998</v>
      </c>
      <c r="C49" s="7">
        <v>0.10000000000000001</v>
      </c>
      <c r="D49" s="7">
        <v>1</v>
      </c>
      <c r="E49" s="7">
        <v>0</v>
      </c>
      <c r="F49" s="7">
        <v>213</v>
      </c>
      <c r="G49" s="7">
        <v>1.2</v>
      </c>
    </row>
    <row r="50" ht="15.75">
      <c r="A50" s="7" t="s">
        <v>86</v>
      </c>
      <c r="B50" s="7">
        <v>4.9000000000000004</v>
      </c>
      <c r="C50" s="7">
        <v>0.10000000000000001</v>
      </c>
      <c r="D50" s="7">
        <v>2</v>
      </c>
      <c r="E50" s="7">
        <v>0</v>
      </c>
      <c r="F50" s="7">
        <v>215</v>
      </c>
      <c r="G50" s="7">
        <v>1.7</v>
      </c>
    </row>
    <row r="51" ht="15.75">
      <c r="A51" s="7" t="s">
        <v>13</v>
      </c>
      <c r="B51" s="7">
        <v>5</v>
      </c>
      <c r="C51" s="7">
        <v>0.10000000000000001</v>
      </c>
      <c r="D51" s="7">
        <v>4</v>
      </c>
      <c r="E51" s="7">
        <v>0</v>
      </c>
      <c r="F51" s="7">
        <v>219</v>
      </c>
      <c r="G51" s="7">
        <v>3.7999999999999998</v>
      </c>
    </row>
    <row r="52" ht="15.75">
      <c r="A52" s="7" t="s">
        <v>87</v>
      </c>
      <c r="B52" s="7">
        <v>5.0999999999999996</v>
      </c>
      <c r="C52" s="7">
        <v>0.10000000000000001</v>
      </c>
      <c r="D52" s="7">
        <v>5</v>
      </c>
      <c r="E52" s="7">
        <v>0</v>
      </c>
      <c r="F52" s="7">
        <v>224</v>
      </c>
      <c r="G52" s="7">
        <v>4.7999999999999998</v>
      </c>
    </row>
    <row r="53" ht="15.75">
      <c r="A53" s="7" t="s">
        <v>88</v>
      </c>
      <c r="B53" s="7">
        <v>5.2000000000000002</v>
      </c>
      <c r="C53" s="7">
        <v>0.10000000000000001</v>
      </c>
      <c r="D53" s="7">
        <v>3</v>
      </c>
      <c r="E53" s="7">
        <v>0</v>
      </c>
      <c r="F53" s="7">
        <v>227</v>
      </c>
      <c r="G53" s="7">
        <v>3.2999999999999998</v>
      </c>
    </row>
    <row r="54" ht="15.75">
      <c r="A54" s="7" t="s">
        <v>89</v>
      </c>
      <c r="B54" s="7">
        <v>5.2999999999999998</v>
      </c>
      <c r="C54" s="7">
        <v>0.10000000000000001</v>
      </c>
      <c r="D54" s="7">
        <v>2</v>
      </c>
      <c r="E54" s="7">
        <v>0</v>
      </c>
      <c r="F54" s="7">
        <v>229</v>
      </c>
      <c r="G54" s="7">
        <v>1.5</v>
      </c>
    </row>
    <row r="55" ht="15.75">
      <c r="A55" s="7" t="s">
        <v>90</v>
      </c>
      <c r="B55" s="7">
        <v>5.4000000000000004</v>
      </c>
      <c r="C55" s="7">
        <v>0.10000000000000001</v>
      </c>
      <c r="D55" s="7">
        <v>0</v>
      </c>
      <c r="E55" s="7">
        <v>7</v>
      </c>
      <c r="F55" s="7">
        <v>222</v>
      </c>
      <c r="G55" s="7">
        <v>-6.7999999999999998</v>
      </c>
    </row>
    <row r="56" ht="15.75">
      <c r="A56" s="7" t="s">
        <v>91</v>
      </c>
      <c r="B56" s="7">
        <v>5.5</v>
      </c>
      <c r="C56" s="7">
        <v>0.10000000000000001</v>
      </c>
      <c r="D56" s="7">
        <v>0</v>
      </c>
      <c r="E56" s="7">
        <v>8</v>
      </c>
      <c r="F56" s="7">
        <v>214</v>
      </c>
      <c r="G56" s="7">
        <v>-7.7999999999999998</v>
      </c>
    </row>
    <row r="57" ht="15.75">
      <c r="A57" s="7" t="s">
        <v>92</v>
      </c>
      <c r="B57" s="7">
        <v>5.5999999999999996</v>
      </c>
      <c r="C57" s="7">
        <v>0.10000000000000001</v>
      </c>
      <c r="D57" s="7">
        <v>4</v>
      </c>
      <c r="E57" s="7">
        <v>0</v>
      </c>
      <c r="F57" s="7">
        <v>218</v>
      </c>
      <c r="G57" s="7">
        <v>4.2000000000000002</v>
      </c>
    </row>
    <row r="58" ht="15.75">
      <c r="A58" s="7" t="s">
        <v>93</v>
      </c>
      <c r="B58" s="7">
        <v>5.7000000000000002</v>
      </c>
      <c r="C58" s="7">
        <v>0.10000000000000001</v>
      </c>
      <c r="D58" s="7">
        <v>4</v>
      </c>
      <c r="E58" s="7">
        <v>0</v>
      </c>
      <c r="F58" s="7">
        <v>222</v>
      </c>
      <c r="G58" s="7">
        <v>3.7999999999999998</v>
      </c>
    </row>
    <row r="59" ht="15.75">
      <c r="A59" s="7" t="s">
        <v>94</v>
      </c>
      <c r="B59" s="7">
        <v>5.7999999999999998</v>
      </c>
      <c r="C59" s="7">
        <v>0.10000000000000001</v>
      </c>
      <c r="D59" s="7">
        <v>0</v>
      </c>
      <c r="E59" s="7">
        <v>3</v>
      </c>
      <c r="F59" s="7">
        <v>219</v>
      </c>
      <c r="G59" s="7">
        <v>-3.1000000000000001</v>
      </c>
    </row>
    <row r="60" ht="15.75">
      <c r="A60" s="7" t="s">
        <v>95</v>
      </c>
      <c r="B60" s="7">
        <v>5.9000000000000004</v>
      </c>
      <c r="C60" s="7">
        <v>0.10000000000000001</v>
      </c>
      <c r="D60" s="7">
        <v>1</v>
      </c>
      <c r="E60" s="7">
        <v>1</v>
      </c>
      <c r="F60" s="7">
        <v>220</v>
      </c>
      <c r="G60" s="7">
        <v>0.80000000000000004</v>
      </c>
    </row>
    <row r="61" ht="15.75">
      <c r="A61" s="7" t="s">
        <v>96</v>
      </c>
      <c r="B61" s="7">
        <v>6</v>
      </c>
      <c r="C61" s="7">
        <v>0.10000000000000001</v>
      </c>
      <c r="D61" s="7">
        <v>6</v>
      </c>
      <c r="E61" s="7">
        <v>0</v>
      </c>
      <c r="F61" s="7">
        <v>225</v>
      </c>
      <c r="G61" s="7">
        <v>5.5</v>
      </c>
    </row>
    <row r="62" ht="15.75">
      <c r="A62" s="7" t="s">
        <v>97</v>
      </c>
      <c r="B62" s="7">
        <v>6.0999999999999996</v>
      </c>
      <c r="C62" s="7">
        <v>0.10000000000000001</v>
      </c>
      <c r="D62" s="7">
        <v>7</v>
      </c>
      <c r="E62" s="7">
        <v>0</v>
      </c>
      <c r="F62" s="7">
        <v>232</v>
      </c>
      <c r="G62" s="7">
        <v>6.7999999999999998</v>
      </c>
    </row>
    <row r="63" ht="15.75">
      <c r="A63" s="7" t="s">
        <v>98</v>
      </c>
      <c r="B63" s="7">
        <v>6.2000000000000002</v>
      </c>
      <c r="C63" s="7">
        <v>0.10000000000000001</v>
      </c>
      <c r="D63" s="7">
        <v>3</v>
      </c>
      <c r="E63" s="7">
        <v>0</v>
      </c>
      <c r="F63" s="7">
        <v>235</v>
      </c>
      <c r="G63" s="7">
        <v>2.7999999999999998</v>
      </c>
    </row>
    <row r="64" ht="15.75">
      <c r="A64" s="7" t="s">
        <v>99</v>
      </c>
      <c r="B64" s="7">
        <v>6.2999999999999998</v>
      </c>
      <c r="C64" s="7">
        <v>0.10000000000000001</v>
      </c>
      <c r="D64" s="7">
        <v>0</v>
      </c>
      <c r="E64" s="7">
        <v>3</v>
      </c>
      <c r="F64" s="7">
        <v>231</v>
      </c>
      <c r="G64" s="7">
        <v>-3.2000000000000002</v>
      </c>
    </row>
    <row r="65" ht="15.75">
      <c r="A65" s="7" t="s">
        <v>100</v>
      </c>
      <c r="B65" s="7">
        <v>6.4000000000000004</v>
      </c>
      <c r="C65" s="7">
        <v>0.10000000000000001</v>
      </c>
      <c r="D65" s="7">
        <v>0</v>
      </c>
      <c r="E65" s="7">
        <v>5</v>
      </c>
      <c r="F65" s="7">
        <v>227</v>
      </c>
      <c r="G65" s="7">
        <v>-4.5999999999999996</v>
      </c>
    </row>
    <row r="66" ht="15.75">
      <c r="A66" s="7" t="s">
        <v>101</v>
      </c>
      <c r="B66" s="7">
        <v>6.5</v>
      </c>
      <c r="C66" s="7">
        <v>0.10000000000000001</v>
      </c>
      <c r="D66" s="7">
        <v>0</v>
      </c>
      <c r="E66" s="7">
        <v>11</v>
      </c>
      <c r="F66" s="7">
        <v>216</v>
      </c>
      <c r="G66" s="7">
        <v>-10.800000000000001</v>
      </c>
    </row>
    <row r="67" ht="15.75">
      <c r="A67" s="7" t="s">
        <v>102</v>
      </c>
      <c r="B67" s="7">
        <v>6.5999999999999996</v>
      </c>
      <c r="C67" s="7">
        <v>0.10000000000000001</v>
      </c>
      <c r="D67" s="7">
        <v>0</v>
      </c>
      <c r="E67" s="7">
        <v>10</v>
      </c>
      <c r="F67" s="7">
        <v>206</v>
      </c>
      <c r="G67" s="7">
        <v>-9.5999999999999996</v>
      </c>
    </row>
    <row r="68" ht="15.75">
      <c r="A68" s="7" t="s">
        <v>103</v>
      </c>
      <c r="B68" s="7">
        <v>6.7000000000000002</v>
      </c>
      <c r="C68" s="7">
        <v>0.10000000000000001</v>
      </c>
      <c r="D68" s="7">
        <v>0</v>
      </c>
      <c r="E68" s="7">
        <v>6</v>
      </c>
      <c r="F68" s="7">
        <v>201</v>
      </c>
      <c r="G68" s="7">
        <v>-5.5999999999999996</v>
      </c>
    </row>
    <row r="69" ht="15.75">
      <c r="A69" s="7" t="s">
        <v>104</v>
      </c>
      <c r="B69" s="7">
        <v>6.7999999999999998</v>
      </c>
      <c r="C69" s="7">
        <v>0.10000000000000001</v>
      </c>
      <c r="D69" s="7">
        <v>2</v>
      </c>
      <c r="E69" s="7">
        <v>1</v>
      </c>
      <c r="F69" s="7">
        <v>202</v>
      </c>
      <c r="G69" s="7">
        <v>1</v>
      </c>
    </row>
    <row r="70" ht="15.75">
      <c r="A70" s="7" t="s">
        <v>105</v>
      </c>
      <c r="B70" s="7">
        <v>6.9000000000000004</v>
      </c>
      <c r="C70" s="7">
        <v>0.10000000000000001</v>
      </c>
      <c r="D70" s="7">
        <v>4</v>
      </c>
      <c r="E70" s="7">
        <v>0</v>
      </c>
      <c r="F70" s="7">
        <v>206</v>
      </c>
      <c r="G70" s="7">
        <v>4.2000000000000002</v>
      </c>
    </row>
    <row r="71" ht="15.75">
      <c r="A71" s="7" t="s">
        <v>106</v>
      </c>
      <c r="B71" s="7">
        <v>7</v>
      </c>
      <c r="C71" s="7">
        <v>0.10000000000000001</v>
      </c>
      <c r="D71" s="7">
        <v>6</v>
      </c>
      <c r="E71" s="7">
        <v>0</v>
      </c>
      <c r="F71" s="7">
        <v>212</v>
      </c>
      <c r="G71" s="7">
        <v>6.0999999999999996</v>
      </c>
    </row>
    <row r="72" ht="15.75">
      <c r="A72" s="7" t="s">
        <v>107</v>
      </c>
      <c r="B72" s="7">
        <v>7.0999999999999996</v>
      </c>
      <c r="C72" s="7">
        <v>0.10000000000000001</v>
      </c>
      <c r="D72" s="7">
        <v>6</v>
      </c>
      <c r="E72" s="7">
        <v>0</v>
      </c>
      <c r="F72" s="7">
        <v>218</v>
      </c>
      <c r="G72" s="7">
        <v>5.7000000000000002</v>
      </c>
    </row>
    <row r="73" ht="15.75">
      <c r="A73" s="7" t="s">
        <v>108</v>
      </c>
      <c r="B73" s="7">
        <v>7.2000000000000002</v>
      </c>
      <c r="C73" s="7">
        <v>0.10000000000000001</v>
      </c>
      <c r="D73" s="7">
        <v>2</v>
      </c>
      <c r="E73" s="7">
        <v>0</v>
      </c>
      <c r="F73" s="7">
        <v>220</v>
      </c>
      <c r="G73" s="7">
        <v>2.1000000000000001</v>
      </c>
    </row>
    <row r="74" ht="15.75">
      <c r="A74" s="7" t="s">
        <v>109</v>
      </c>
      <c r="B74" s="7">
        <v>7.2999999999999998</v>
      </c>
      <c r="C74" s="7">
        <v>0.10000000000000001</v>
      </c>
      <c r="D74" s="7">
        <v>0</v>
      </c>
      <c r="E74" s="7">
        <v>0</v>
      </c>
      <c r="F74" s="7">
        <v>220</v>
      </c>
      <c r="G74" s="7">
        <v>0</v>
      </c>
    </row>
    <row r="75" ht="15.75">
      <c r="A75" s="7" t="s">
        <v>110</v>
      </c>
      <c r="B75" s="7">
        <v>7.4000000000000004</v>
      </c>
      <c r="C75" s="7">
        <v>0.10000000000000001</v>
      </c>
      <c r="D75" s="7">
        <v>1</v>
      </c>
      <c r="E75" s="7">
        <v>0</v>
      </c>
      <c r="F75" s="7">
        <v>221</v>
      </c>
      <c r="G75" s="7">
        <v>1.1000000000000001</v>
      </c>
    </row>
    <row r="76" ht="15.75">
      <c r="A76" s="7" t="s">
        <v>111</v>
      </c>
      <c r="B76" s="7">
        <v>7.5</v>
      </c>
      <c r="C76" s="7">
        <v>0.10000000000000001</v>
      </c>
      <c r="D76" s="7">
        <v>0</v>
      </c>
      <c r="E76" s="7">
        <v>1</v>
      </c>
      <c r="F76" s="7">
        <v>220</v>
      </c>
      <c r="G76" s="7">
        <v>-1.3999999999999999</v>
      </c>
    </row>
    <row r="77" ht="15.75">
      <c r="A77" s="7" t="s">
        <v>112</v>
      </c>
      <c r="B77" s="7">
        <v>7.5999999999999996</v>
      </c>
      <c r="C77" s="7">
        <v>0.10000000000000001</v>
      </c>
      <c r="D77" s="7">
        <v>0</v>
      </c>
      <c r="E77" s="7">
        <v>4</v>
      </c>
      <c r="F77" s="7">
        <v>215</v>
      </c>
      <c r="G77" s="7">
        <v>-4.5</v>
      </c>
    </row>
    <row r="78" ht="15.75">
      <c r="A78" s="7" t="s">
        <v>113</v>
      </c>
      <c r="B78" s="7">
        <v>7.7000000000000002</v>
      </c>
      <c r="C78" s="7">
        <v>0.10000000000000001</v>
      </c>
      <c r="D78" s="7">
        <v>1</v>
      </c>
      <c r="E78" s="7">
        <v>1</v>
      </c>
      <c r="F78" s="7">
        <v>215</v>
      </c>
      <c r="G78" s="7">
        <v>-0.10000000000000001</v>
      </c>
    </row>
    <row r="79" ht="15.75">
      <c r="A79" s="7" t="s">
        <v>114</v>
      </c>
      <c r="B79" s="7">
        <v>7.7999999999999998</v>
      </c>
      <c r="C79" s="7">
        <v>0.10000000000000001</v>
      </c>
      <c r="D79" s="7">
        <v>1</v>
      </c>
      <c r="E79" s="7">
        <v>0</v>
      </c>
      <c r="F79" s="7">
        <v>217</v>
      </c>
      <c r="G79" s="7">
        <v>1.3</v>
      </c>
    </row>
    <row r="80" ht="15.75">
      <c r="A80" s="7" t="s">
        <v>115</v>
      </c>
      <c r="B80" s="7">
        <v>7.9000000000000004</v>
      </c>
      <c r="C80" s="7">
        <v>0.10000000000000001</v>
      </c>
      <c r="D80" s="7">
        <v>4</v>
      </c>
      <c r="E80" s="7">
        <v>0</v>
      </c>
      <c r="F80" s="7">
        <v>221</v>
      </c>
      <c r="G80" s="7">
        <v>4</v>
      </c>
    </row>
    <row r="81" ht="15.75">
      <c r="A81" s="7" t="s">
        <v>116</v>
      </c>
      <c r="B81" s="7">
        <v>8</v>
      </c>
      <c r="C81" s="7">
        <v>0.10000000000000001</v>
      </c>
      <c r="D81" s="7">
        <v>6</v>
      </c>
      <c r="E81" s="7">
        <v>0</v>
      </c>
      <c r="F81" s="7">
        <v>227</v>
      </c>
      <c r="G81" s="7">
        <v>6.0999999999999996</v>
      </c>
    </row>
    <row r="82" ht="15.75">
      <c r="A82" s="7" t="s">
        <v>117</v>
      </c>
      <c r="B82" s="7">
        <v>8.0999999999999996</v>
      </c>
      <c r="C82" s="7">
        <v>0.10000000000000001</v>
      </c>
      <c r="D82" s="7">
        <v>6</v>
      </c>
      <c r="E82" s="7">
        <v>0</v>
      </c>
      <c r="F82" s="7">
        <v>233</v>
      </c>
      <c r="G82" s="7">
        <v>6.0999999999999996</v>
      </c>
    </row>
    <row r="83" ht="15.75">
      <c r="A83" s="7" t="s">
        <v>118</v>
      </c>
      <c r="B83" s="7">
        <v>8.1999999999999993</v>
      </c>
      <c r="C83" s="7">
        <v>0.10000000000000001</v>
      </c>
      <c r="D83" s="7">
        <v>7</v>
      </c>
      <c r="E83" s="7">
        <v>0</v>
      </c>
      <c r="F83" s="7">
        <v>239</v>
      </c>
      <c r="G83" s="7">
        <v>6.5999999999999996</v>
      </c>
    </row>
    <row r="84" ht="15.75">
      <c r="A84" s="7" t="s">
        <v>119</v>
      </c>
      <c r="B84" s="7">
        <v>8.3000000000000007</v>
      </c>
      <c r="C84" s="7">
        <v>0.10000000000000001</v>
      </c>
      <c r="D84" s="7">
        <v>5</v>
      </c>
      <c r="E84" s="7">
        <v>0</v>
      </c>
      <c r="F84" s="7">
        <v>244</v>
      </c>
      <c r="G84" s="7">
        <v>5</v>
      </c>
    </row>
    <row r="85" ht="15.75">
      <c r="A85" s="7" t="s">
        <v>120</v>
      </c>
      <c r="B85" s="7">
        <v>8.4000000000000004</v>
      </c>
      <c r="C85" s="7">
        <v>0.10000000000000001</v>
      </c>
      <c r="D85" s="7">
        <v>1</v>
      </c>
      <c r="E85" s="7">
        <v>1</v>
      </c>
      <c r="F85" s="7">
        <v>244</v>
      </c>
      <c r="G85" s="7">
        <v>-0.10000000000000001</v>
      </c>
    </row>
    <row r="86" ht="15.75">
      <c r="A86" s="7" t="s">
        <v>121</v>
      </c>
      <c r="B86" s="7">
        <v>8.5</v>
      </c>
      <c r="C86" s="7">
        <v>0.10000000000000001</v>
      </c>
      <c r="D86" s="7">
        <v>0</v>
      </c>
      <c r="E86" s="7">
        <v>3</v>
      </c>
      <c r="F86" s="7">
        <v>241</v>
      </c>
      <c r="G86" s="7">
        <v>-3</v>
      </c>
    </row>
    <row r="87" ht="15.75">
      <c r="A87" s="7" t="s">
        <v>122</v>
      </c>
      <c r="B87" s="7">
        <v>8.5999999999999996</v>
      </c>
      <c r="C87" s="7">
        <v>0.10000000000000001</v>
      </c>
      <c r="D87" s="7">
        <v>0</v>
      </c>
      <c r="E87" s="7">
        <v>2</v>
      </c>
      <c r="F87" s="7">
        <v>239</v>
      </c>
      <c r="G87" s="7">
        <v>-2</v>
      </c>
    </row>
    <row r="88" ht="15.75">
      <c r="A88" s="7" t="s">
        <v>123</v>
      </c>
      <c r="B88" s="7">
        <v>8.6999999999999993</v>
      </c>
      <c r="C88" s="7">
        <v>0.10000000000000001</v>
      </c>
      <c r="D88" s="7">
        <v>0</v>
      </c>
      <c r="E88" s="7">
        <v>4</v>
      </c>
      <c r="F88" s="7">
        <v>235</v>
      </c>
      <c r="G88" s="7">
        <v>-3.7999999999999998</v>
      </c>
    </row>
    <row r="89" ht="15.75">
      <c r="A89" s="7" t="s">
        <v>124</v>
      </c>
      <c r="B89" s="7">
        <v>8.8000000000000007</v>
      </c>
      <c r="C89" s="7">
        <v>0.10000000000000001</v>
      </c>
      <c r="D89" s="7">
        <v>1</v>
      </c>
      <c r="E89" s="7">
        <v>1</v>
      </c>
      <c r="F89" s="7">
        <v>235</v>
      </c>
      <c r="G89" s="7">
        <v>-0.20000000000000001</v>
      </c>
    </row>
    <row r="90" ht="15.75">
      <c r="A90" s="7" t="s">
        <v>125</v>
      </c>
      <c r="B90" s="7">
        <v>8.9000000000000004</v>
      </c>
      <c r="C90" s="7">
        <v>0.10000000000000001</v>
      </c>
      <c r="D90" s="7">
        <v>3</v>
      </c>
      <c r="E90" s="7">
        <v>0</v>
      </c>
      <c r="F90" s="7">
        <v>239</v>
      </c>
      <c r="G90" s="7">
        <v>3.5</v>
      </c>
    </row>
    <row r="91" ht="15.75">
      <c r="A91" s="7" t="s">
        <v>126</v>
      </c>
      <c r="B91" s="7">
        <v>9</v>
      </c>
      <c r="C91" s="7">
        <v>0.10000000000000001</v>
      </c>
      <c r="D91" s="7">
        <v>4</v>
      </c>
      <c r="E91" s="7">
        <v>0</v>
      </c>
      <c r="F91" s="7">
        <v>242</v>
      </c>
      <c r="G91" s="7">
        <v>3.6000000000000001</v>
      </c>
    </row>
    <row r="92" ht="15.75">
      <c r="A92" s="7" t="s">
        <v>127</v>
      </c>
      <c r="B92" s="7">
        <v>9.0999999999999996</v>
      </c>
      <c r="C92" s="7">
        <v>0.10000000000000001</v>
      </c>
      <c r="D92" s="7">
        <v>4</v>
      </c>
      <c r="E92" s="7">
        <v>0</v>
      </c>
      <c r="F92" s="7">
        <v>246</v>
      </c>
      <c r="G92" s="7">
        <v>3.6000000000000001</v>
      </c>
    </row>
    <row r="93" ht="15.75">
      <c r="A93" s="7" t="s">
        <v>128</v>
      </c>
      <c r="B93" s="7">
        <v>9.1999999999999993</v>
      </c>
      <c r="C93" s="7">
        <v>0.10000000000000001</v>
      </c>
      <c r="D93" s="7">
        <v>3</v>
      </c>
      <c r="E93" s="7">
        <v>0</v>
      </c>
      <c r="F93" s="7">
        <v>248</v>
      </c>
      <c r="G93" s="7">
        <v>2.5</v>
      </c>
    </row>
    <row r="94" ht="15.75">
      <c r="A94" s="7" t="s">
        <v>129</v>
      </c>
      <c r="B94" s="7">
        <v>9.3000000000000007</v>
      </c>
      <c r="C94" s="7">
        <v>0.10000000000000001</v>
      </c>
      <c r="D94" s="7">
        <v>2</v>
      </c>
      <c r="E94" s="7">
        <v>0</v>
      </c>
      <c r="F94" s="7">
        <v>251</v>
      </c>
      <c r="G94" s="7">
        <v>2.5</v>
      </c>
    </row>
    <row r="95" ht="15.75">
      <c r="A95" s="7" t="s">
        <v>130</v>
      </c>
      <c r="B95" s="7">
        <v>9.4000000000000004</v>
      </c>
      <c r="C95" s="7">
        <v>0.10000000000000001</v>
      </c>
      <c r="D95" s="7">
        <v>2</v>
      </c>
      <c r="E95" s="7">
        <v>0</v>
      </c>
      <c r="F95" s="7">
        <v>253</v>
      </c>
      <c r="G95" s="7">
        <v>1.8</v>
      </c>
    </row>
    <row r="96" ht="15.75">
      <c r="A96" s="7" t="s">
        <v>131</v>
      </c>
      <c r="B96" s="7">
        <v>9.5</v>
      </c>
      <c r="C96" s="7">
        <v>0.10000000000000001</v>
      </c>
      <c r="D96" s="7">
        <v>1</v>
      </c>
      <c r="E96" s="7">
        <v>0</v>
      </c>
      <c r="F96" s="7">
        <v>254</v>
      </c>
      <c r="G96" s="7">
        <v>1.1000000000000001</v>
      </c>
    </row>
    <row r="97" ht="15.75">
      <c r="A97" s="7" t="s">
        <v>132</v>
      </c>
      <c r="B97" s="7">
        <v>9.5999999999999996</v>
      </c>
      <c r="C97" s="7">
        <v>0.10000000000000001</v>
      </c>
      <c r="D97" s="7">
        <v>3</v>
      </c>
      <c r="E97" s="7">
        <v>0</v>
      </c>
      <c r="F97" s="7">
        <v>256</v>
      </c>
      <c r="G97" s="7">
        <v>2.5</v>
      </c>
    </row>
    <row r="98" ht="15.75">
      <c r="A98" s="7" t="s">
        <v>133</v>
      </c>
      <c r="B98" s="7">
        <v>9.6999999999999993</v>
      </c>
      <c r="C98" s="7">
        <v>0.10000000000000001</v>
      </c>
      <c r="D98" s="7">
        <v>5</v>
      </c>
      <c r="E98" s="7">
        <v>0</v>
      </c>
      <c r="F98" s="7">
        <v>262</v>
      </c>
      <c r="G98" s="7">
        <v>5.0999999999999996</v>
      </c>
    </row>
    <row r="99" ht="15.75">
      <c r="A99" s="7" t="s">
        <v>134</v>
      </c>
      <c r="B99" s="7">
        <v>9.8000000000000007</v>
      </c>
      <c r="C99" s="7">
        <v>0.10000000000000001</v>
      </c>
      <c r="D99" s="7">
        <v>6</v>
      </c>
      <c r="E99" s="7">
        <v>0</v>
      </c>
      <c r="F99" s="7">
        <v>268</v>
      </c>
      <c r="G99" s="7">
        <v>6.0999999999999996</v>
      </c>
    </row>
    <row r="100" ht="15.75">
      <c r="A100" s="7" t="s">
        <v>135</v>
      </c>
      <c r="B100" s="7">
        <v>9.9000000000000004</v>
      </c>
      <c r="C100" s="7">
        <v>0.10000000000000001</v>
      </c>
      <c r="D100" s="7">
        <v>6</v>
      </c>
      <c r="E100" s="7">
        <v>0</v>
      </c>
      <c r="F100" s="7">
        <v>274</v>
      </c>
      <c r="G100" s="7">
        <v>6.2000000000000002</v>
      </c>
    </row>
    <row r="101" ht="15.75">
      <c r="A101" s="7" t="s">
        <v>17</v>
      </c>
      <c r="B101" s="7">
        <v>10</v>
      </c>
      <c r="C101" s="7">
        <v>0.10000000000000001</v>
      </c>
      <c r="D101" s="7">
        <v>8</v>
      </c>
      <c r="E101" s="7">
        <v>0</v>
      </c>
      <c r="F101" s="7">
        <v>282</v>
      </c>
      <c r="G101" s="7">
        <v>8.1999999999999993</v>
      </c>
    </row>
    <row r="102" ht="15.75">
      <c r="A102" s="7" t="s">
        <v>136</v>
      </c>
      <c r="B102" s="7">
        <v>10.1</v>
      </c>
      <c r="C102" s="7">
        <v>0.10000000000000001</v>
      </c>
      <c r="D102" s="7">
        <v>8</v>
      </c>
      <c r="E102" s="7">
        <v>0</v>
      </c>
      <c r="F102" s="7">
        <v>290</v>
      </c>
      <c r="G102" s="7">
        <v>8.5</v>
      </c>
    </row>
    <row r="103" ht="15.75">
      <c r="A103" s="7" t="s">
        <v>137</v>
      </c>
      <c r="B103" s="7">
        <v>10.199999999999999</v>
      </c>
      <c r="C103" s="7">
        <v>0.10000000000000001</v>
      </c>
      <c r="D103" s="7">
        <v>7</v>
      </c>
      <c r="E103" s="7">
        <v>0</v>
      </c>
      <c r="F103" s="7">
        <v>298</v>
      </c>
      <c r="G103" s="7">
        <v>7.2999999999999998</v>
      </c>
    </row>
    <row r="104" ht="15.75">
      <c r="A104" s="7" t="s">
        <v>138</v>
      </c>
      <c r="B104" s="7">
        <v>10.300000000000001</v>
      </c>
      <c r="C104" s="7">
        <v>0.10000000000000001</v>
      </c>
      <c r="D104" s="7">
        <v>10</v>
      </c>
      <c r="E104" s="7">
        <v>0</v>
      </c>
      <c r="F104" s="7">
        <v>308</v>
      </c>
      <c r="G104" s="7">
        <v>9.8000000000000007</v>
      </c>
    </row>
    <row r="105" ht="15.75">
      <c r="A105" s="7" t="s">
        <v>139</v>
      </c>
      <c r="B105" s="7">
        <v>10.4</v>
      </c>
      <c r="C105" s="7">
        <v>0.10000000000000001</v>
      </c>
      <c r="D105" s="7">
        <v>11</v>
      </c>
      <c r="E105" s="7">
        <v>0</v>
      </c>
      <c r="F105" s="7">
        <v>319</v>
      </c>
      <c r="G105" s="7">
        <v>11</v>
      </c>
    </row>
    <row r="106" ht="15.75">
      <c r="A106" s="7" t="s">
        <v>140</v>
      </c>
      <c r="B106" s="7">
        <v>10.5</v>
      </c>
      <c r="C106" s="7">
        <v>0.10000000000000001</v>
      </c>
      <c r="D106" s="7">
        <v>7</v>
      </c>
      <c r="E106" s="7">
        <v>0</v>
      </c>
      <c r="F106" s="7">
        <v>325</v>
      </c>
      <c r="G106" s="7">
        <v>6.7000000000000002</v>
      </c>
    </row>
    <row r="107" ht="15.75">
      <c r="A107" s="7" t="s">
        <v>141</v>
      </c>
      <c r="B107" s="7">
        <v>10.6</v>
      </c>
      <c r="C107" s="7">
        <v>0.10000000000000001</v>
      </c>
      <c r="D107" s="7">
        <v>6</v>
      </c>
      <c r="E107" s="7">
        <v>0</v>
      </c>
      <c r="F107" s="7">
        <v>332</v>
      </c>
      <c r="G107" s="7">
        <v>6.2000000000000002</v>
      </c>
    </row>
    <row r="108" ht="15.75">
      <c r="A108" s="7" t="s">
        <v>142</v>
      </c>
      <c r="B108" s="7">
        <v>10.699999999999999</v>
      </c>
      <c r="C108" s="7">
        <v>0.10000000000000001</v>
      </c>
      <c r="D108" s="7">
        <v>7</v>
      </c>
      <c r="E108" s="7">
        <v>0</v>
      </c>
      <c r="F108" s="7">
        <v>338</v>
      </c>
      <c r="G108" s="7">
        <v>6.7999999999999998</v>
      </c>
    </row>
    <row r="109" ht="15.75">
      <c r="A109" s="7" t="s">
        <v>143</v>
      </c>
      <c r="B109" s="7">
        <v>10.800000000000001</v>
      </c>
      <c r="C109" s="7">
        <v>0.10000000000000001</v>
      </c>
      <c r="D109" s="7">
        <v>1</v>
      </c>
      <c r="E109" s="7">
        <v>1</v>
      </c>
      <c r="F109" s="7">
        <v>339</v>
      </c>
      <c r="G109" s="7">
        <v>0.40000000000000002</v>
      </c>
    </row>
    <row r="110" ht="15.75">
      <c r="A110" s="7" t="s">
        <v>144</v>
      </c>
      <c r="B110" s="7">
        <v>10.9</v>
      </c>
      <c r="C110" s="7">
        <v>0.10000000000000001</v>
      </c>
      <c r="D110" s="7">
        <v>0</v>
      </c>
      <c r="E110" s="7">
        <v>3</v>
      </c>
      <c r="F110" s="7">
        <v>336</v>
      </c>
      <c r="G110" s="7">
        <v>-2.7999999999999998</v>
      </c>
    </row>
    <row r="111" ht="15.75">
      <c r="A111" s="7" t="s">
        <v>145</v>
      </c>
      <c r="B111" s="7">
        <v>11</v>
      </c>
      <c r="C111" s="7">
        <v>0.10000000000000001</v>
      </c>
      <c r="D111" s="7">
        <v>0</v>
      </c>
      <c r="E111" s="7">
        <v>4</v>
      </c>
      <c r="F111" s="7">
        <v>332</v>
      </c>
      <c r="G111" s="7">
        <v>-4.0999999999999996</v>
      </c>
    </row>
    <row r="112" ht="15.75">
      <c r="A112" s="7" t="s">
        <v>146</v>
      </c>
      <c r="B112" s="7">
        <v>11.1</v>
      </c>
      <c r="C112" s="7">
        <v>0.10000000000000001</v>
      </c>
      <c r="D112" s="7">
        <v>1</v>
      </c>
      <c r="E112" s="7">
        <v>2</v>
      </c>
      <c r="F112" s="7">
        <v>331</v>
      </c>
      <c r="G112" s="7">
        <v>-0.69999999999999996</v>
      </c>
    </row>
    <row r="113" ht="15.75">
      <c r="A113" s="7" t="s">
        <v>147</v>
      </c>
      <c r="B113" s="7">
        <v>11.199999999999999</v>
      </c>
      <c r="C113" s="7">
        <v>0.10000000000000001</v>
      </c>
      <c r="D113" s="7">
        <v>3</v>
      </c>
      <c r="E113" s="7">
        <v>0</v>
      </c>
      <c r="F113" s="7">
        <v>334</v>
      </c>
      <c r="G113" s="7">
        <v>2.5</v>
      </c>
    </row>
    <row r="114" ht="15.75">
      <c r="A114" s="7" t="s">
        <v>148</v>
      </c>
      <c r="B114" s="7">
        <v>11.300000000000001</v>
      </c>
      <c r="C114" s="7">
        <v>0.10000000000000001</v>
      </c>
      <c r="D114" s="7">
        <v>3</v>
      </c>
      <c r="E114" s="7">
        <v>0</v>
      </c>
      <c r="F114" s="7">
        <v>337</v>
      </c>
      <c r="G114" s="7">
        <v>3.2000000000000002</v>
      </c>
    </row>
    <row r="115" ht="15.75">
      <c r="A115" s="7" t="s">
        <v>149</v>
      </c>
      <c r="B115" s="7">
        <v>11.4</v>
      </c>
      <c r="C115" s="7">
        <v>0.10000000000000001</v>
      </c>
      <c r="D115" s="7">
        <v>0</v>
      </c>
      <c r="E115" s="7">
        <v>5</v>
      </c>
      <c r="F115" s="7">
        <v>332</v>
      </c>
      <c r="G115" s="7">
        <v>-4.7999999999999998</v>
      </c>
    </row>
    <row r="116" ht="15.75">
      <c r="A116" s="7" t="s">
        <v>150</v>
      </c>
      <c r="B116" s="7">
        <v>11.5</v>
      </c>
      <c r="C116" s="7">
        <v>0.10000000000000001</v>
      </c>
      <c r="D116" s="7">
        <v>0</v>
      </c>
      <c r="E116" s="7">
        <v>7</v>
      </c>
      <c r="F116" s="7">
        <v>325</v>
      </c>
      <c r="G116" s="7">
        <v>-6.7000000000000002</v>
      </c>
    </row>
    <row r="117" ht="15.75">
      <c r="A117" s="7" t="s">
        <v>151</v>
      </c>
      <c r="B117" s="7">
        <v>11.6</v>
      </c>
      <c r="C117" s="7">
        <v>0.10000000000000001</v>
      </c>
      <c r="D117" s="7">
        <v>0</v>
      </c>
      <c r="E117" s="7">
        <v>4</v>
      </c>
      <c r="F117" s="7">
        <v>322</v>
      </c>
      <c r="G117" s="7">
        <v>-3.5</v>
      </c>
    </row>
    <row r="118" ht="15.75">
      <c r="A118" s="7" t="s">
        <v>152</v>
      </c>
      <c r="B118" s="7">
        <v>11.699999999999999</v>
      </c>
      <c r="C118" s="7">
        <v>0.10000000000000001</v>
      </c>
      <c r="D118" s="7">
        <v>2</v>
      </c>
      <c r="E118" s="7">
        <v>0</v>
      </c>
      <c r="F118" s="7">
        <v>324</v>
      </c>
      <c r="G118" s="7">
        <v>2.1000000000000001</v>
      </c>
    </row>
    <row r="119" ht="15.75">
      <c r="A119" s="7" t="s">
        <v>153</v>
      </c>
      <c r="B119" s="7">
        <v>11.800000000000001</v>
      </c>
      <c r="C119" s="7">
        <v>0.10000000000000001</v>
      </c>
      <c r="D119" s="7">
        <v>5</v>
      </c>
      <c r="E119" s="7">
        <v>0</v>
      </c>
      <c r="F119" s="7">
        <v>329</v>
      </c>
      <c r="G119" s="7">
        <v>5</v>
      </c>
    </row>
    <row r="120" ht="15.75">
      <c r="A120" s="7" t="s">
        <v>154</v>
      </c>
      <c r="B120" s="7">
        <v>11.9</v>
      </c>
      <c r="C120" s="7">
        <v>0.10000000000000001</v>
      </c>
      <c r="D120" s="7">
        <v>6</v>
      </c>
      <c r="E120" s="7">
        <v>0</v>
      </c>
      <c r="F120" s="7">
        <v>334</v>
      </c>
      <c r="G120" s="7">
        <v>5.7000000000000002</v>
      </c>
    </row>
    <row r="121" ht="15.75">
      <c r="A121" s="7" t="s">
        <v>155</v>
      </c>
      <c r="B121" s="7">
        <v>12</v>
      </c>
      <c r="C121" s="7">
        <v>0.10000000000000001</v>
      </c>
      <c r="D121" s="7">
        <v>4</v>
      </c>
      <c r="E121" s="7">
        <v>0</v>
      </c>
      <c r="F121" s="7">
        <v>339</v>
      </c>
      <c r="G121" s="7">
        <v>4.5</v>
      </c>
    </row>
    <row r="122" ht="15.75">
      <c r="A122" s="7" t="s">
        <v>156</v>
      </c>
      <c r="B122" s="7">
        <v>12.1</v>
      </c>
      <c r="C122" s="7">
        <v>0.10000000000000001</v>
      </c>
      <c r="D122" s="7">
        <v>2</v>
      </c>
      <c r="E122" s="7">
        <v>0</v>
      </c>
      <c r="F122" s="7">
        <v>341</v>
      </c>
      <c r="G122" s="7">
        <v>1.8999999999999999</v>
      </c>
    </row>
    <row r="123" ht="15.75">
      <c r="A123" s="7" t="s">
        <v>157</v>
      </c>
      <c r="B123" s="7">
        <v>12.199999999999999</v>
      </c>
      <c r="C123" s="7">
        <v>0.10000000000000001</v>
      </c>
      <c r="D123" s="7">
        <v>1</v>
      </c>
      <c r="E123" s="7">
        <v>0</v>
      </c>
      <c r="F123" s="7">
        <v>342</v>
      </c>
      <c r="G123" s="7">
        <v>1.2</v>
      </c>
    </row>
    <row r="124" ht="15.75">
      <c r="A124" s="7" t="s">
        <v>158</v>
      </c>
      <c r="B124" s="7">
        <v>12.300000000000001</v>
      </c>
      <c r="C124" s="7">
        <v>0.10000000000000001</v>
      </c>
      <c r="D124" s="7">
        <v>0</v>
      </c>
      <c r="E124" s="7">
        <v>0</v>
      </c>
      <c r="F124" s="7">
        <v>342</v>
      </c>
      <c r="G124" s="7">
        <v>-0.40000000000000002</v>
      </c>
    </row>
    <row r="125" ht="15.75">
      <c r="A125" s="7" t="s">
        <v>159</v>
      </c>
      <c r="B125" s="7">
        <v>12.4</v>
      </c>
      <c r="C125" s="7">
        <v>0.10000000000000001</v>
      </c>
      <c r="D125" s="7">
        <v>0</v>
      </c>
      <c r="E125" s="7">
        <v>0</v>
      </c>
      <c r="F125" s="7">
        <v>341</v>
      </c>
      <c r="G125" s="7">
        <v>-0.29999999999999999</v>
      </c>
    </row>
    <row r="126" ht="15.75">
      <c r="A126" s="7" t="s">
        <v>160</v>
      </c>
      <c r="B126" s="7">
        <v>12.5</v>
      </c>
      <c r="C126" s="7">
        <v>0.10000000000000001</v>
      </c>
      <c r="D126" s="7">
        <v>0</v>
      </c>
      <c r="E126" s="7">
        <v>0</v>
      </c>
      <c r="F126" s="7">
        <v>341</v>
      </c>
      <c r="G126" s="7">
        <v>0</v>
      </c>
    </row>
    <row r="127" ht="15.75">
      <c r="A127" s="7" t="s">
        <v>161</v>
      </c>
      <c r="B127" s="7">
        <v>12.6</v>
      </c>
      <c r="C127" s="7">
        <v>0.10000000000000001</v>
      </c>
      <c r="D127" s="7">
        <v>0</v>
      </c>
      <c r="E127" s="7">
        <v>0</v>
      </c>
      <c r="F127" s="7">
        <v>341</v>
      </c>
      <c r="G127" s="7">
        <v>0</v>
      </c>
    </row>
    <row r="128" ht="15.75">
      <c r="A128" s="7" t="s">
        <v>162</v>
      </c>
      <c r="B128" s="7">
        <v>12.699999999999999</v>
      </c>
      <c r="C128" s="7">
        <v>0.10000000000000001</v>
      </c>
      <c r="D128" s="7">
        <v>0</v>
      </c>
      <c r="E128" s="7">
        <v>1</v>
      </c>
      <c r="F128" s="7">
        <v>341</v>
      </c>
      <c r="G128" s="7">
        <v>-0.59999999999999998</v>
      </c>
    </row>
    <row r="129" ht="15.75">
      <c r="A129" s="7" t="s">
        <v>163</v>
      </c>
      <c r="B129" s="7">
        <v>12.800000000000001</v>
      </c>
      <c r="C129" s="7">
        <v>0.10000000000000001</v>
      </c>
      <c r="D129" s="7">
        <v>1</v>
      </c>
      <c r="E129" s="7">
        <v>0</v>
      </c>
      <c r="F129" s="7">
        <v>342</v>
      </c>
      <c r="G129" s="7">
        <v>0.80000000000000004</v>
      </c>
    </row>
    <row r="130" ht="15.75">
      <c r="A130" s="7" t="s">
        <v>164</v>
      </c>
      <c r="B130" s="7">
        <v>12.9</v>
      </c>
      <c r="C130" s="7">
        <v>0.10000000000000001</v>
      </c>
      <c r="D130" s="7">
        <v>6</v>
      </c>
      <c r="E130" s="7">
        <v>0</v>
      </c>
      <c r="F130" s="7">
        <v>347</v>
      </c>
      <c r="G130" s="7">
        <v>5.7999999999999998</v>
      </c>
    </row>
    <row r="131" ht="15.75">
      <c r="A131" s="7" t="s">
        <v>165</v>
      </c>
      <c r="B131" s="7">
        <v>13</v>
      </c>
      <c r="C131" s="7">
        <v>0.10000000000000001</v>
      </c>
      <c r="D131" s="7">
        <v>9</v>
      </c>
      <c r="E131" s="7">
        <v>0</v>
      </c>
      <c r="F131" s="7">
        <v>356</v>
      </c>
      <c r="G131" s="7">
        <v>8.5999999999999996</v>
      </c>
    </row>
    <row r="132" ht="15.75">
      <c r="A132" s="7" t="s">
        <v>166</v>
      </c>
      <c r="B132" s="7">
        <v>13.1</v>
      </c>
      <c r="C132" s="7">
        <v>0.10000000000000001</v>
      </c>
      <c r="D132" s="7">
        <v>6</v>
      </c>
      <c r="E132" s="7">
        <v>0</v>
      </c>
      <c r="F132" s="7">
        <v>362</v>
      </c>
      <c r="G132" s="7">
        <v>6.2999999999999998</v>
      </c>
    </row>
    <row r="133" ht="15.75">
      <c r="A133" s="7" t="s">
        <v>167</v>
      </c>
      <c r="B133" s="7">
        <v>13.199999999999999</v>
      </c>
      <c r="C133" s="7">
        <v>0.10000000000000001</v>
      </c>
      <c r="D133" s="7">
        <v>7</v>
      </c>
      <c r="E133" s="7">
        <v>0</v>
      </c>
      <c r="F133" s="7">
        <v>370</v>
      </c>
      <c r="G133" s="7">
        <v>7.4000000000000004</v>
      </c>
    </row>
    <row r="134" ht="15.75">
      <c r="A134" s="7" t="s">
        <v>168</v>
      </c>
      <c r="B134" s="7">
        <v>13.300000000000001</v>
      </c>
      <c r="C134" s="7">
        <v>0.10000000000000001</v>
      </c>
      <c r="D134" s="7">
        <v>10</v>
      </c>
      <c r="E134" s="7">
        <v>0</v>
      </c>
      <c r="F134" s="7">
        <v>379</v>
      </c>
      <c r="G134" s="7">
        <v>9.8000000000000007</v>
      </c>
    </row>
    <row r="135" ht="15.75">
      <c r="A135" s="7" t="s">
        <v>169</v>
      </c>
      <c r="B135" s="7">
        <v>13.4</v>
      </c>
      <c r="C135" s="7">
        <v>0.10000000000000001</v>
      </c>
      <c r="D135" s="7">
        <v>11</v>
      </c>
      <c r="E135" s="7">
        <v>0</v>
      </c>
      <c r="F135" s="7">
        <v>390</v>
      </c>
      <c r="G135" s="7">
        <v>10.800000000000001</v>
      </c>
    </row>
    <row r="136" ht="15.75">
      <c r="A136" s="7" t="s">
        <v>170</v>
      </c>
      <c r="B136" s="7">
        <v>13.5</v>
      </c>
      <c r="C136" s="7">
        <v>0.10000000000000001</v>
      </c>
      <c r="D136" s="7">
        <v>11</v>
      </c>
      <c r="E136" s="7">
        <v>0</v>
      </c>
      <c r="F136" s="7">
        <v>401</v>
      </c>
      <c r="G136" s="7">
        <v>10.699999999999999</v>
      </c>
    </row>
    <row r="137" ht="15.75">
      <c r="A137" s="7" t="s">
        <v>171</v>
      </c>
      <c r="B137" s="7">
        <v>13.6</v>
      </c>
      <c r="C137" s="7">
        <v>0.10000000000000001</v>
      </c>
      <c r="D137" s="7">
        <v>6</v>
      </c>
      <c r="E137" s="7">
        <v>0</v>
      </c>
      <c r="F137" s="7">
        <v>407</v>
      </c>
      <c r="G137" s="7">
        <v>5.5999999999999996</v>
      </c>
    </row>
    <row r="138" ht="15.75">
      <c r="A138" s="7" t="s">
        <v>172</v>
      </c>
      <c r="B138" s="7">
        <v>13.699999999999999</v>
      </c>
      <c r="C138" s="7">
        <v>0.10000000000000001</v>
      </c>
      <c r="D138" s="7">
        <v>0</v>
      </c>
      <c r="E138" s="7">
        <v>1</v>
      </c>
      <c r="F138" s="7">
        <v>405</v>
      </c>
      <c r="G138" s="7">
        <v>-1.3999999999999999</v>
      </c>
    </row>
    <row r="139" ht="15.75">
      <c r="A139" s="7" t="s">
        <v>173</v>
      </c>
      <c r="B139" s="7">
        <v>13.800000000000001</v>
      </c>
      <c r="C139" s="7">
        <v>0.10000000000000001</v>
      </c>
      <c r="D139" s="7">
        <v>0</v>
      </c>
      <c r="E139" s="7">
        <v>1</v>
      </c>
      <c r="F139" s="7">
        <v>404</v>
      </c>
      <c r="G139" s="7">
        <v>-1.1000000000000001</v>
      </c>
    </row>
    <row r="140" ht="15.75">
      <c r="A140" s="7" t="s">
        <v>174</v>
      </c>
      <c r="B140" s="7">
        <v>13.9</v>
      </c>
      <c r="C140" s="7">
        <v>0.10000000000000001</v>
      </c>
      <c r="D140" s="7">
        <v>1</v>
      </c>
      <c r="E140" s="7">
        <v>0</v>
      </c>
      <c r="F140" s="7">
        <v>405</v>
      </c>
      <c r="G140" s="7">
        <v>1.2</v>
      </c>
    </row>
    <row r="141" ht="15.75">
      <c r="A141" s="7" t="s">
        <v>175</v>
      </c>
      <c r="B141" s="7">
        <v>14</v>
      </c>
      <c r="C141" s="7">
        <v>0.10000000000000001</v>
      </c>
      <c r="D141" s="7">
        <v>5</v>
      </c>
      <c r="E141" s="7">
        <v>0</v>
      </c>
      <c r="F141" s="7">
        <v>410</v>
      </c>
      <c r="G141" s="7">
        <v>4.7999999999999998</v>
      </c>
    </row>
    <row r="142" ht="15.75">
      <c r="A142" s="7" t="s">
        <v>176</v>
      </c>
      <c r="B142" s="7">
        <v>14.1</v>
      </c>
      <c r="C142" s="7">
        <v>0.10000000000000001</v>
      </c>
      <c r="D142" s="7">
        <v>6</v>
      </c>
      <c r="E142" s="7">
        <v>0</v>
      </c>
      <c r="F142" s="7">
        <v>416</v>
      </c>
      <c r="G142" s="7">
        <v>6.0999999999999996</v>
      </c>
    </row>
    <row r="143" ht="15.75">
      <c r="A143" s="7" t="s">
        <v>177</v>
      </c>
      <c r="B143" s="7">
        <v>14.199999999999999</v>
      </c>
      <c r="C143" s="7">
        <v>0.10000000000000001</v>
      </c>
      <c r="D143" s="7">
        <v>3</v>
      </c>
      <c r="E143" s="7">
        <v>0</v>
      </c>
      <c r="F143" s="7">
        <v>419</v>
      </c>
      <c r="G143" s="7">
        <v>3.1000000000000001</v>
      </c>
    </row>
    <row r="144" ht="15.75">
      <c r="A144" s="7" t="s">
        <v>178</v>
      </c>
      <c r="B144" s="7">
        <v>14.300000000000001</v>
      </c>
      <c r="C144" s="7">
        <v>0.10000000000000001</v>
      </c>
      <c r="D144" s="7">
        <v>0</v>
      </c>
      <c r="E144" s="7">
        <v>1</v>
      </c>
      <c r="F144" s="7">
        <v>419</v>
      </c>
      <c r="G144" s="7">
        <v>-0.59999999999999998</v>
      </c>
    </row>
    <row r="145" ht="15.75">
      <c r="A145" s="7" t="s">
        <v>179</v>
      </c>
      <c r="B145" s="7">
        <v>14.4</v>
      </c>
      <c r="C145" s="7">
        <v>0.10000000000000001</v>
      </c>
      <c r="D145" s="7">
        <v>0</v>
      </c>
      <c r="E145" s="7">
        <v>3</v>
      </c>
      <c r="F145" s="7">
        <v>415</v>
      </c>
      <c r="G145" s="7">
        <v>-3.2000000000000002</v>
      </c>
    </row>
    <row r="146" ht="15.75">
      <c r="A146" s="7" t="s">
        <v>180</v>
      </c>
      <c r="B146" s="7">
        <v>14.5</v>
      </c>
      <c r="C146" s="7">
        <v>0.10000000000000001</v>
      </c>
      <c r="D146" s="7">
        <v>1</v>
      </c>
      <c r="E146" s="7">
        <v>1</v>
      </c>
      <c r="F146" s="7">
        <v>415</v>
      </c>
      <c r="G146" s="7">
        <v>-0.10000000000000001</v>
      </c>
    </row>
    <row r="147" ht="15.75">
      <c r="A147" s="7" t="s">
        <v>181</v>
      </c>
      <c r="B147" s="7">
        <v>14.6</v>
      </c>
      <c r="C147" s="7">
        <v>0.10000000000000001</v>
      </c>
      <c r="D147" s="7">
        <v>3</v>
      </c>
      <c r="E147" s="7">
        <v>0</v>
      </c>
      <c r="F147" s="7">
        <v>418</v>
      </c>
      <c r="G147" s="7">
        <v>3.1000000000000001</v>
      </c>
    </row>
    <row r="148" ht="15.75">
      <c r="A148" s="7" t="s">
        <v>182</v>
      </c>
      <c r="B148" s="7">
        <v>14.699999999999999</v>
      </c>
      <c r="C148" s="7">
        <v>0.10000000000000001</v>
      </c>
      <c r="D148" s="7">
        <v>5</v>
      </c>
      <c r="E148" s="7">
        <v>0</v>
      </c>
      <c r="F148" s="7">
        <v>423</v>
      </c>
      <c r="G148" s="7">
        <v>5</v>
      </c>
    </row>
    <row r="149" ht="15.75">
      <c r="A149" s="7" t="s">
        <v>183</v>
      </c>
      <c r="B149" s="7">
        <v>14.800000000000001</v>
      </c>
      <c r="C149" s="7">
        <v>0.10000000000000001</v>
      </c>
      <c r="D149" s="7">
        <v>4</v>
      </c>
      <c r="E149" s="7">
        <v>0</v>
      </c>
      <c r="F149" s="7">
        <v>428</v>
      </c>
      <c r="G149" s="7">
        <v>4.2000000000000002</v>
      </c>
    </row>
    <row r="150" ht="15.75">
      <c r="A150" s="7" t="s">
        <v>184</v>
      </c>
      <c r="B150" s="7">
        <v>14.9</v>
      </c>
      <c r="C150" s="7">
        <v>0.10000000000000001</v>
      </c>
      <c r="D150" s="7">
        <v>6</v>
      </c>
      <c r="E150" s="7">
        <v>0</v>
      </c>
      <c r="F150" s="7">
        <v>434</v>
      </c>
      <c r="G150" s="7">
        <v>6.2000000000000002</v>
      </c>
    </row>
    <row r="151" ht="15.75">
      <c r="A151" s="7" t="s">
        <v>20</v>
      </c>
      <c r="B151" s="7">
        <v>15</v>
      </c>
      <c r="C151" s="7">
        <v>0.10000000000000001</v>
      </c>
      <c r="D151" s="7">
        <v>5</v>
      </c>
      <c r="E151" s="7">
        <v>0</v>
      </c>
      <c r="F151" s="7">
        <v>439</v>
      </c>
      <c r="G151" s="7">
        <v>5.2000000000000002</v>
      </c>
    </row>
    <row r="152" ht="15.75">
      <c r="A152" s="7" t="s">
        <v>185</v>
      </c>
      <c r="B152" s="7">
        <v>15.1</v>
      </c>
      <c r="C152" s="7">
        <v>0.10000000000000001</v>
      </c>
      <c r="D152" s="7">
        <v>4</v>
      </c>
      <c r="E152" s="7">
        <v>0</v>
      </c>
      <c r="F152" s="7">
        <v>443</v>
      </c>
      <c r="G152" s="7">
        <v>4</v>
      </c>
    </row>
    <row r="153" ht="15.75">
      <c r="A153" s="7" t="s">
        <v>186</v>
      </c>
      <c r="B153" s="7">
        <v>15.199999999999999</v>
      </c>
      <c r="C153" s="7">
        <v>0.10000000000000001</v>
      </c>
      <c r="D153" s="7">
        <v>5</v>
      </c>
      <c r="E153" s="7">
        <v>0</v>
      </c>
      <c r="F153" s="7">
        <v>448</v>
      </c>
      <c r="G153" s="7">
        <v>4.5999999999999996</v>
      </c>
    </row>
    <row r="154" ht="15.75">
      <c r="A154" s="7" t="s">
        <v>187</v>
      </c>
      <c r="B154" s="7">
        <v>15.300000000000001</v>
      </c>
      <c r="C154" s="7">
        <v>0.10000000000000001</v>
      </c>
      <c r="D154" s="7">
        <v>5</v>
      </c>
      <c r="E154" s="7">
        <v>0</v>
      </c>
      <c r="F154" s="7">
        <v>453</v>
      </c>
      <c r="G154" s="7">
        <v>5.4000000000000004</v>
      </c>
    </row>
    <row r="155" ht="15.75">
      <c r="A155" s="7" t="s">
        <v>188</v>
      </c>
      <c r="B155" s="7">
        <v>15.4</v>
      </c>
      <c r="C155" s="7">
        <v>0.10000000000000001</v>
      </c>
      <c r="D155" s="7">
        <v>7</v>
      </c>
      <c r="E155" s="7">
        <v>0</v>
      </c>
      <c r="F155" s="7">
        <v>460</v>
      </c>
      <c r="G155" s="7">
        <v>6.5999999999999996</v>
      </c>
    </row>
    <row r="156" ht="15.75">
      <c r="A156" s="7" t="s">
        <v>189</v>
      </c>
      <c r="B156" s="7">
        <v>15.5</v>
      </c>
      <c r="C156" s="7">
        <v>0.10000000000000001</v>
      </c>
      <c r="D156" s="7">
        <v>4</v>
      </c>
      <c r="E156" s="7">
        <v>0</v>
      </c>
      <c r="F156" s="7">
        <v>464</v>
      </c>
      <c r="G156" s="7">
        <v>4.2000000000000002</v>
      </c>
    </row>
    <row r="157" ht="15.75">
      <c r="A157" s="7" t="s">
        <v>190</v>
      </c>
      <c r="B157" s="7">
        <v>15.6</v>
      </c>
      <c r="C157" s="7">
        <v>0.10000000000000001</v>
      </c>
      <c r="D157" s="7">
        <v>2</v>
      </c>
      <c r="E157" s="7">
        <v>0</v>
      </c>
      <c r="F157" s="7">
        <v>466</v>
      </c>
      <c r="G157" s="7">
        <v>1.7</v>
      </c>
    </row>
    <row r="158" ht="15.75">
      <c r="A158" s="7" t="s">
        <v>191</v>
      </c>
      <c r="B158" s="7">
        <v>15.699999999999999</v>
      </c>
      <c r="C158" s="7">
        <v>0.10000000000000001</v>
      </c>
      <c r="D158" s="7">
        <v>0</v>
      </c>
      <c r="E158" s="7">
        <v>0</v>
      </c>
      <c r="F158" s="7">
        <v>466</v>
      </c>
      <c r="G158" s="7">
        <v>0.10000000000000001</v>
      </c>
    </row>
    <row r="159" ht="15.75">
      <c r="A159" s="7" t="s">
        <v>192</v>
      </c>
      <c r="B159" s="7">
        <v>15.800000000000001</v>
      </c>
      <c r="C159" s="7">
        <v>0.10000000000000001</v>
      </c>
      <c r="D159" s="7">
        <v>0</v>
      </c>
      <c r="E159" s="7">
        <v>0</v>
      </c>
      <c r="F159" s="7">
        <v>466</v>
      </c>
      <c r="G159" s="7">
        <v>0.10000000000000001</v>
      </c>
    </row>
    <row r="160" ht="15.75">
      <c r="A160" s="7" t="s">
        <v>193</v>
      </c>
      <c r="B160" s="7">
        <v>15.9</v>
      </c>
      <c r="C160" s="7">
        <v>0.10000000000000001</v>
      </c>
      <c r="D160" s="7">
        <v>0</v>
      </c>
      <c r="E160" s="7">
        <v>4</v>
      </c>
      <c r="F160" s="7">
        <v>462</v>
      </c>
      <c r="G160" s="7">
        <v>-3.6000000000000001</v>
      </c>
    </row>
    <row r="161" ht="15.75">
      <c r="A161" s="7" t="s">
        <v>194</v>
      </c>
      <c r="B161" s="7">
        <v>16</v>
      </c>
      <c r="C161" s="7">
        <v>0.10000000000000001</v>
      </c>
      <c r="D161" s="7">
        <v>0</v>
      </c>
      <c r="E161" s="7">
        <v>7</v>
      </c>
      <c r="F161" s="7">
        <v>455</v>
      </c>
      <c r="G161" s="7">
        <v>-6.9000000000000004</v>
      </c>
    </row>
    <row r="162" ht="15.75">
      <c r="A162" s="7" t="s">
        <v>195</v>
      </c>
      <c r="B162" s="7">
        <v>16.100000000000001</v>
      </c>
      <c r="C162" s="7">
        <v>0.10000000000000001</v>
      </c>
      <c r="D162" s="7">
        <v>0</v>
      </c>
      <c r="E162" s="7">
        <v>4</v>
      </c>
      <c r="F162" s="7">
        <v>451</v>
      </c>
      <c r="G162" s="7">
        <v>-4.0999999999999996</v>
      </c>
    </row>
    <row r="163" ht="15.75">
      <c r="A163" s="7" t="s">
        <v>196</v>
      </c>
      <c r="B163" s="7">
        <v>16.199999999999999</v>
      </c>
      <c r="C163" s="7">
        <v>0.10000000000000001</v>
      </c>
      <c r="D163" s="7">
        <v>0</v>
      </c>
      <c r="E163" s="7">
        <v>3</v>
      </c>
      <c r="F163" s="7">
        <v>448</v>
      </c>
      <c r="G163" s="7">
        <v>-2.8999999999999999</v>
      </c>
    </row>
    <row r="164" ht="15.75">
      <c r="A164" s="7" t="s">
        <v>197</v>
      </c>
      <c r="B164" s="7">
        <v>16.300000000000001</v>
      </c>
      <c r="C164" s="7">
        <v>0.10000000000000001</v>
      </c>
      <c r="D164" s="7">
        <v>0</v>
      </c>
      <c r="E164" s="7">
        <v>1</v>
      </c>
      <c r="F164" s="7">
        <v>447</v>
      </c>
      <c r="G164" s="7">
        <v>-1.1000000000000001</v>
      </c>
    </row>
    <row r="165" ht="15.75">
      <c r="A165" s="7" t="s">
        <v>198</v>
      </c>
      <c r="B165" s="7">
        <v>16.399999999999999</v>
      </c>
      <c r="C165" s="7">
        <v>0.10000000000000001</v>
      </c>
      <c r="D165" s="7">
        <v>2</v>
      </c>
      <c r="E165" s="7">
        <v>0</v>
      </c>
      <c r="F165" s="7">
        <v>449</v>
      </c>
      <c r="G165" s="7">
        <v>1.8</v>
      </c>
    </row>
    <row r="166" ht="15.75">
      <c r="A166" s="7" t="s">
        <v>199</v>
      </c>
      <c r="B166" s="7">
        <v>16.5</v>
      </c>
      <c r="C166" s="7">
        <v>0.10000000000000001</v>
      </c>
      <c r="D166" s="7">
        <v>3</v>
      </c>
      <c r="E166" s="7">
        <v>0</v>
      </c>
      <c r="F166" s="7">
        <v>452</v>
      </c>
      <c r="G166" s="7">
        <v>2.7999999999999998</v>
      </c>
    </row>
    <row r="167" ht="15.75">
      <c r="A167" s="7" t="s">
        <v>200</v>
      </c>
      <c r="B167" s="7">
        <v>16.600000000000001</v>
      </c>
      <c r="C167" s="7">
        <v>0.10000000000000001</v>
      </c>
      <c r="D167" s="7">
        <v>5</v>
      </c>
      <c r="E167" s="7">
        <v>0</v>
      </c>
      <c r="F167" s="7">
        <v>457</v>
      </c>
      <c r="G167" s="7">
        <v>4.7999999999999998</v>
      </c>
    </row>
    <row r="168" ht="15.75">
      <c r="A168" s="7" t="s">
        <v>201</v>
      </c>
      <c r="B168" s="7">
        <v>16.699999999999999</v>
      </c>
      <c r="C168" s="7">
        <v>0.10000000000000001</v>
      </c>
      <c r="D168" s="7">
        <v>5</v>
      </c>
      <c r="E168" s="7">
        <v>0</v>
      </c>
      <c r="F168" s="7">
        <v>461</v>
      </c>
      <c r="G168" s="7">
        <v>4.7999999999999998</v>
      </c>
    </row>
    <row r="169" ht="15.75">
      <c r="A169" s="7" t="s">
        <v>202</v>
      </c>
      <c r="B169" s="7">
        <v>16.800000000000001</v>
      </c>
      <c r="C169" s="7">
        <v>0.10000000000000001</v>
      </c>
      <c r="D169" s="7">
        <v>2</v>
      </c>
      <c r="E169" s="7">
        <v>1</v>
      </c>
      <c r="F169" s="7">
        <v>463</v>
      </c>
      <c r="G169" s="7">
        <v>1.2</v>
      </c>
    </row>
    <row r="170" ht="15.75">
      <c r="A170" s="7" t="s">
        <v>203</v>
      </c>
      <c r="B170" s="7">
        <v>16.899999999999999</v>
      </c>
      <c r="C170" s="7">
        <v>0.10000000000000001</v>
      </c>
      <c r="D170" s="7">
        <v>0</v>
      </c>
      <c r="E170" s="7">
        <v>2</v>
      </c>
      <c r="F170" s="7">
        <v>461</v>
      </c>
      <c r="G170" s="7">
        <v>-1.8999999999999999</v>
      </c>
    </row>
    <row r="171" ht="15.75">
      <c r="A171" s="7" t="s">
        <v>204</v>
      </c>
      <c r="B171" s="7">
        <v>17</v>
      </c>
      <c r="C171" s="7">
        <v>0.10000000000000001</v>
      </c>
      <c r="D171" s="7">
        <v>0</v>
      </c>
      <c r="E171" s="7">
        <v>1</v>
      </c>
      <c r="F171" s="7">
        <v>460</v>
      </c>
      <c r="G171" s="7">
        <v>-0.69999999999999996</v>
      </c>
    </row>
    <row r="172" ht="15.75">
      <c r="A172" s="7" t="s">
        <v>205</v>
      </c>
      <c r="B172" s="7">
        <v>17.100000000000001</v>
      </c>
      <c r="C172" s="7">
        <v>0.10000000000000001</v>
      </c>
      <c r="D172" s="7">
        <v>0</v>
      </c>
      <c r="E172" s="7">
        <v>0</v>
      </c>
      <c r="F172" s="7">
        <v>460</v>
      </c>
      <c r="G172" s="7">
        <v>-0.40000000000000002</v>
      </c>
    </row>
    <row r="173" ht="15.75">
      <c r="A173" s="7" t="s">
        <v>206</v>
      </c>
      <c r="B173" s="7">
        <v>17.199999999999999</v>
      </c>
      <c r="C173" s="7">
        <v>0.10000000000000001</v>
      </c>
      <c r="D173" s="7">
        <v>0</v>
      </c>
      <c r="E173" s="7">
        <v>5</v>
      </c>
      <c r="F173" s="7">
        <v>454</v>
      </c>
      <c r="G173" s="7">
        <v>-5.4000000000000004</v>
      </c>
    </row>
    <row r="174" ht="15.75">
      <c r="A174" s="7" t="s">
        <v>207</v>
      </c>
      <c r="B174" s="7">
        <v>17.300000000000001</v>
      </c>
      <c r="C174" s="7">
        <v>0.10000000000000001</v>
      </c>
      <c r="D174" s="7">
        <v>0</v>
      </c>
      <c r="E174" s="7">
        <v>12</v>
      </c>
      <c r="F174" s="7">
        <v>443</v>
      </c>
      <c r="G174" s="7">
        <v>-11.6</v>
      </c>
    </row>
    <row r="175" ht="15.75">
      <c r="A175" s="7" t="s">
        <v>208</v>
      </c>
      <c r="B175" s="7">
        <v>17.399999999999999</v>
      </c>
      <c r="C175" s="7">
        <v>0.10000000000000001</v>
      </c>
      <c r="D175" s="7">
        <v>0</v>
      </c>
      <c r="E175" s="7">
        <v>3</v>
      </c>
      <c r="F175" s="7">
        <v>440</v>
      </c>
      <c r="G175" s="7">
        <v>-2.7000000000000002</v>
      </c>
    </row>
    <row r="176" ht="15.75">
      <c r="A176" s="7" t="s">
        <v>209</v>
      </c>
      <c r="B176" s="7">
        <v>17.5</v>
      </c>
      <c r="C176" s="7">
        <v>0.10000000000000001</v>
      </c>
      <c r="D176" s="7">
        <v>0</v>
      </c>
      <c r="E176" s="7">
        <v>7</v>
      </c>
      <c r="F176" s="7">
        <v>432</v>
      </c>
      <c r="G176" s="7">
        <v>-7.5</v>
      </c>
    </row>
    <row r="177" ht="15.75">
      <c r="A177" s="7" t="s">
        <v>210</v>
      </c>
      <c r="B177" s="7">
        <v>17.600000000000001</v>
      </c>
      <c r="C177" s="7">
        <v>0.10000000000000001</v>
      </c>
      <c r="D177" s="7">
        <v>0</v>
      </c>
      <c r="E177" s="7">
        <v>8</v>
      </c>
      <c r="F177" s="7">
        <v>425</v>
      </c>
      <c r="G177" s="7">
        <v>-7.7000000000000002</v>
      </c>
    </row>
    <row r="178" ht="15.75">
      <c r="A178" s="7" t="s">
        <v>211</v>
      </c>
      <c r="B178" s="7">
        <v>17.699999999999999</v>
      </c>
      <c r="C178" s="7">
        <v>0.10000000000000001</v>
      </c>
      <c r="D178" s="7">
        <v>0</v>
      </c>
      <c r="E178" s="7">
        <v>6</v>
      </c>
      <c r="F178" s="7">
        <v>419</v>
      </c>
      <c r="G178" s="7">
        <v>-5.9000000000000004</v>
      </c>
    </row>
    <row r="179" ht="15.75">
      <c r="A179" s="7" t="s">
        <v>212</v>
      </c>
      <c r="B179" s="7">
        <v>17.800000000000001</v>
      </c>
      <c r="C179" s="7">
        <v>0.10000000000000001</v>
      </c>
      <c r="D179" s="7">
        <v>6</v>
      </c>
      <c r="E179" s="7">
        <v>0</v>
      </c>
      <c r="F179" s="7">
        <v>425</v>
      </c>
      <c r="G179" s="7">
        <v>5.7000000000000002</v>
      </c>
    </row>
    <row r="180" ht="15.75">
      <c r="A180" s="7" t="s">
        <v>213</v>
      </c>
      <c r="B180" s="7">
        <v>17.899999999999999</v>
      </c>
      <c r="C180" s="7">
        <v>0.10000000000000001</v>
      </c>
      <c r="D180" s="7">
        <v>1</v>
      </c>
      <c r="E180" s="7">
        <v>3</v>
      </c>
      <c r="F180" s="7">
        <v>422</v>
      </c>
      <c r="G180" s="7">
        <v>-2.3999999999999999</v>
      </c>
    </row>
    <row r="181" ht="15.75">
      <c r="A181" s="7" t="s">
        <v>214</v>
      </c>
      <c r="B181" s="7">
        <v>18</v>
      </c>
      <c r="C181" s="7">
        <v>0.10000000000000001</v>
      </c>
      <c r="D181" s="7">
        <v>2</v>
      </c>
      <c r="E181" s="7">
        <v>0</v>
      </c>
      <c r="F181" s="7">
        <v>424</v>
      </c>
      <c r="G181" s="7">
        <v>1.5</v>
      </c>
    </row>
    <row r="182" ht="15.75">
      <c r="A182" s="7" t="s">
        <v>215</v>
      </c>
      <c r="B182" s="7">
        <v>18.100000000000001</v>
      </c>
      <c r="C182" s="7">
        <v>0.10000000000000001</v>
      </c>
      <c r="D182" s="7">
        <v>4</v>
      </c>
      <c r="E182" s="7">
        <v>0</v>
      </c>
      <c r="F182" s="7">
        <v>428</v>
      </c>
      <c r="G182" s="7">
        <v>3.7999999999999998</v>
      </c>
    </row>
    <row r="183" ht="15.75">
      <c r="A183" s="7" t="s">
        <v>216</v>
      </c>
      <c r="B183" s="7">
        <v>18.199999999999999</v>
      </c>
      <c r="C183" s="7">
        <v>0.10000000000000001</v>
      </c>
      <c r="D183" s="7">
        <v>4</v>
      </c>
      <c r="E183" s="7">
        <v>0</v>
      </c>
      <c r="F183" s="7">
        <v>431</v>
      </c>
      <c r="G183" s="7">
        <v>3.6000000000000001</v>
      </c>
    </row>
    <row r="184" ht="15.75">
      <c r="A184" s="7" t="s">
        <v>217</v>
      </c>
      <c r="B184" s="7">
        <v>18.300000000000001</v>
      </c>
      <c r="C184" s="7">
        <v>0.10000000000000001</v>
      </c>
      <c r="D184" s="7">
        <v>6</v>
      </c>
      <c r="E184" s="7">
        <v>0</v>
      </c>
      <c r="F184" s="7">
        <v>437</v>
      </c>
      <c r="G184" s="7">
        <v>6.2000000000000002</v>
      </c>
    </row>
    <row r="185" ht="15.75">
      <c r="A185" s="7" t="s">
        <v>218</v>
      </c>
      <c r="B185" s="7">
        <v>18.399999999999999</v>
      </c>
      <c r="C185" s="7">
        <v>0.10000000000000001</v>
      </c>
      <c r="D185" s="7">
        <v>9</v>
      </c>
      <c r="E185" s="7">
        <v>0</v>
      </c>
      <c r="F185" s="7">
        <v>446</v>
      </c>
      <c r="G185" s="7">
        <v>8.5999999999999996</v>
      </c>
    </row>
    <row r="186" ht="15.75">
      <c r="A186" s="7" t="s">
        <v>219</v>
      </c>
      <c r="B186" s="7">
        <v>18.5</v>
      </c>
      <c r="C186" s="7">
        <v>0.10000000000000001</v>
      </c>
      <c r="D186" s="7">
        <v>9</v>
      </c>
      <c r="E186" s="7">
        <v>0</v>
      </c>
      <c r="F186" s="7">
        <v>455</v>
      </c>
      <c r="G186" s="7">
        <v>8.9000000000000004</v>
      </c>
    </row>
    <row r="187" ht="15.75">
      <c r="A187" s="7" t="s">
        <v>220</v>
      </c>
      <c r="B187" s="7">
        <v>18.600000000000001</v>
      </c>
      <c r="C187" s="7">
        <v>0.10000000000000001</v>
      </c>
      <c r="D187" s="7">
        <v>7</v>
      </c>
      <c r="E187" s="7">
        <v>0</v>
      </c>
      <c r="F187" s="7">
        <v>461</v>
      </c>
      <c r="G187" s="7">
        <v>6.5999999999999996</v>
      </c>
    </row>
    <row r="188" ht="15.75">
      <c r="A188" s="7" t="s">
        <v>221</v>
      </c>
      <c r="B188" s="7">
        <v>18.699999999999999</v>
      </c>
      <c r="C188" s="7">
        <v>0.10000000000000001</v>
      </c>
      <c r="D188" s="7">
        <v>1</v>
      </c>
      <c r="E188" s="7">
        <v>1</v>
      </c>
      <c r="F188" s="7">
        <v>461</v>
      </c>
      <c r="G188" s="7">
        <v>-0.5</v>
      </c>
    </row>
    <row r="189" ht="15.75">
      <c r="A189" s="7" t="s">
        <v>222</v>
      </c>
      <c r="B189" s="7">
        <v>18.800000000000001</v>
      </c>
      <c r="C189" s="7">
        <v>0.10000000000000001</v>
      </c>
      <c r="D189" s="7">
        <v>3</v>
      </c>
      <c r="E189" s="7">
        <v>0</v>
      </c>
      <c r="F189" s="7">
        <v>463</v>
      </c>
      <c r="G189" s="7">
        <v>2.6000000000000001</v>
      </c>
    </row>
    <row r="190" ht="15.75">
      <c r="A190" s="7" t="s">
        <v>223</v>
      </c>
      <c r="B190" s="7">
        <v>18.899999999999999</v>
      </c>
      <c r="C190" s="7">
        <v>0.10000000000000001</v>
      </c>
      <c r="D190" s="7">
        <v>1</v>
      </c>
      <c r="E190" s="7">
        <v>1</v>
      </c>
      <c r="F190" s="7">
        <v>464</v>
      </c>
      <c r="G190" s="7">
        <v>0.20000000000000001</v>
      </c>
    </row>
    <row r="191" ht="15.75">
      <c r="A191" s="7" t="s">
        <v>224</v>
      </c>
      <c r="B191" s="7">
        <v>19</v>
      </c>
      <c r="C191" s="7">
        <v>0.10000000000000001</v>
      </c>
      <c r="D191" s="7">
        <v>5</v>
      </c>
      <c r="E191" s="7">
        <v>0</v>
      </c>
      <c r="F191" s="7">
        <v>469</v>
      </c>
      <c r="G191" s="7">
        <v>5.0999999999999996</v>
      </c>
    </row>
    <row r="192" ht="15.75">
      <c r="A192" s="7" t="s">
        <v>225</v>
      </c>
      <c r="B192" s="7">
        <v>19.100000000000001</v>
      </c>
      <c r="C192" s="7">
        <v>0.10000000000000001</v>
      </c>
      <c r="D192" s="7">
        <v>8</v>
      </c>
      <c r="E192" s="7">
        <v>0</v>
      </c>
      <c r="F192" s="7">
        <v>477</v>
      </c>
      <c r="G192" s="7">
        <v>8.0999999999999996</v>
      </c>
    </row>
    <row r="193" ht="15.75">
      <c r="A193" s="7" t="s">
        <v>226</v>
      </c>
      <c r="B193" s="7">
        <v>19.199999999999999</v>
      </c>
      <c r="C193" s="7">
        <v>0.10000000000000001</v>
      </c>
      <c r="D193" s="7">
        <v>5</v>
      </c>
      <c r="E193" s="7">
        <v>0</v>
      </c>
      <c r="F193" s="7">
        <v>482</v>
      </c>
      <c r="G193" s="7">
        <v>5.2999999999999998</v>
      </c>
    </row>
    <row r="194" ht="15.75">
      <c r="A194" s="7" t="s">
        <v>227</v>
      </c>
      <c r="B194" s="7">
        <v>19.300000000000001</v>
      </c>
      <c r="C194" s="7">
        <v>0.10000000000000001</v>
      </c>
      <c r="D194" s="7">
        <v>7</v>
      </c>
      <c r="E194" s="7">
        <v>0</v>
      </c>
      <c r="F194" s="7">
        <v>489</v>
      </c>
      <c r="G194" s="7">
        <v>6.7000000000000002</v>
      </c>
    </row>
    <row r="195" ht="15.75">
      <c r="A195" s="7" t="s">
        <v>228</v>
      </c>
      <c r="B195" s="7">
        <v>19.399999999999999</v>
      </c>
      <c r="C195" s="7">
        <v>0.10000000000000001</v>
      </c>
      <c r="D195" s="7">
        <v>6</v>
      </c>
      <c r="E195" s="7">
        <v>0</v>
      </c>
      <c r="F195" s="7">
        <v>495</v>
      </c>
      <c r="G195" s="7">
        <v>5.7000000000000002</v>
      </c>
    </row>
    <row r="196" ht="15.75">
      <c r="A196" s="7" t="s">
        <v>229</v>
      </c>
      <c r="B196" s="7">
        <v>19.5</v>
      </c>
      <c r="C196" s="7">
        <v>0.10000000000000001</v>
      </c>
      <c r="D196" s="7">
        <v>2</v>
      </c>
      <c r="E196" s="7">
        <v>0</v>
      </c>
      <c r="F196" s="7">
        <v>496</v>
      </c>
      <c r="G196" s="7">
        <v>1.7</v>
      </c>
    </row>
    <row r="197" ht="15.75">
      <c r="A197" s="7" t="s">
        <v>230</v>
      </c>
      <c r="B197" s="7">
        <v>19.600000000000001</v>
      </c>
      <c r="C197" s="7">
        <v>0.10000000000000001</v>
      </c>
      <c r="D197" s="7">
        <v>0</v>
      </c>
      <c r="E197" s="7">
        <v>4</v>
      </c>
      <c r="F197" s="7">
        <v>493</v>
      </c>
      <c r="G197" s="7">
        <v>-3.6000000000000001</v>
      </c>
    </row>
    <row r="198" ht="15.75">
      <c r="A198" s="7" t="s">
        <v>231</v>
      </c>
      <c r="B198" s="7">
        <v>19.699999999999999</v>
      </c>
      <c r="C198" s="7">
        <v>0.10000000000000001</v>
      </c>
      <c r="D198" s="7">
        <v>0</v>
      </c>
      <c r="E198" s="7">
        <v>7</v>
      </c>
      <c r="F198" s="7">
        <v>486</v>
      </c>
      <c r="G198" s="7">
        <v>-7.2000000000000002</v>
      </c>
    </row>
    <row r="199" ht="15.75">
      <c r="A199" s="7" t="s">
        <v>232</v>
      </c>
      <c r="B199" s="7">
        <v>19.800000000000001</v>
      </c>
      <c r="C199" s="7">
        <v>0.10000000000000001</v>
      </c>
      <c r="D199" s="7">
        <v>0</v>
      </c>
      <c r="E199" s="7">
        <v>6</v>
      </c>
      <c r="F199" s="7">
        <v>479</v>
      </c>
      <c r="G199" s="7">
        <v>-6.4000000000000004</v>
      </c>
    </row>
    <row r="200" ht="15.75">
      <c r="A200" s="7" t="s">
        <v>233</v>
      </c>
      <c r="B200" s="7">
        <v>19.899999999999999</v>
      </c>
      <c r="C200" s="7">
        <v>0.10000000000000001</v>
      </c>
      <c r="D200" s="7">
        <v>0</v>
      </c>
      <c r="E200" s="7">
        <v>8</v>
      </c>
      <c r="F200" s="7">
        <v>471</v>
      </c>
      <c r="G200" s="7">
        <v>-7.7000000000000002</v>
      </c>
    </row>
    <row r="201" ht="15.75">
      <c r="A201" s="7" t="s">
        <v>22</v>
      </c>
      <c r="B201" s="7">
        <v>20</v>
      </c>
      <c r="C201" s="7">
        <v>0.10000000000000001</v>
      </c>
      <c r="D201" s="7">
        <v>0</v>
      </c>
      <c r="E201" s="7">
        <v>4</v>
      </c>
      <c r="F201" s="7">
        <v>468</v>
      </c>
      <c r="G201" s="7">
        <v>-3.7000000000000002</v>
      </c>
    </row>
    <row r="202" ht="15.75">
      <c r="A202" s="7" t="s">
        <v>234</v>
      </c>
      <c r="B202" s="7">
        <v>20.100000000000001</v>
      </c>
      <c r="C202" s="7">
        <v>0.10000000000000001</v>
      </c>
      <c r="D202" s="7">
        <v>4</v>
      </c>
      <c r="E202" s="7">
        <v>0</v>
      </c>
      <c r="F202" s="7">
        <v>472</v>
      </c>
      <c r="G202" s="7">
        <v>3.7999999999999998</v>
      </c>
    </row>
    <row r="203" ht="15.75">
      <c r="A203" s="7" t="s">
        <v>235</v>
      </c>
      <c r="B203" s="7">
        <v>20.199999999999999</v>
      </c>
      <c r="C203" s="7">
        <v>0.10000000000000001</v>
      </c>
      <c r="D203" s="7">
        <v>9</v>
      </c>
      <c r="E203" s="7">
        <v>0</v>
      </c>
      <c r="F203" s="7">
        <v>480</v>
      </c>
      <c r="G203" s="7">
        <v>8.9000000000000004</v>
      </c>
    </row>
    <row r="204" ht="15.75">
      <c r="A204" s="7" t="s">
        <v>236</v>
      </c>
      <c r="B204" s="7">
        <v>20.300000000000001</v>
      </c>
      <c r="C204" s="7">
        <v>0.10000000000000001</v>
      </c>
      <c r="D204" s="7">
        <v>11</v>
      </c>
      <c r="E204" s="7">
        <v>0</v>
      </c>
      <c r="F204" s="7">
        <v>492</v>
      </c>
      <c r="G204" s="7">
        <v>11.199999999999999</v>
      </c>
    </row>
    <row r="205" ht="15.75">
      <c r="A205" s="7" t="s">
        <v>237</v>
      </c>
      <c r="B205" s="7">
        <v>20.399999999999999</v>
      </c>
      <c r="C205" s="7">
        <v>0.10000000000000001</v>
      </c>
      <c r="D205" s="7">
        <v>12</v>
      </c>
      <c r="E205" s="7">
        <v>0</v>
      </c>
      <c r="F205" s="7">
        <v>504</v>
      </c>
      <c r="G205" s="7">
        <v>11.9</v>
      </c>
    </row>
    <row r="206" ht="15.75">
      <c r="A206" s="7" t="s">
        <v>238</v>
      </c>
      <c r="B206" s="7">
        <v>20.5</v>
      </c>
      <c r="C206" s="7">
        <v>0.10000000000000001</v>
      </c>
      <c r="D206" s="7">
        <v>7</v>
      </c>
      <c r="E206" s="7">
        <v>0</v>
      </c>
      <c r="F206" s="7">
        <v>511</v>
      </c>
      <c r="G206" s="7">
        <v>7.4000000000000004</v>
      </c>
    </row>
    <row r="207" ht="15.75">
      <c r="A207" s="7" t="s">
        <v>239</v>
      </c>
      <c r="B207" s="7">
        <v>20.600000000000001</v>
      </c>
      <c r="C207" s="7">
        <v>0.10000000000000001</v>
      </c>
      <c r="D207" s="7">
        <v>2</v>
      </c>
      <c r="E207" s="7">
        <v>0</v>
      </c>
      <c r="F207" s="7">
        <v>513</v>
      </c>
      <c r="G207" s="7">
        <v>1.7</v>
      </c>
    </row>
    <row r="208" ht="15.75">
      <c r="A208" s="7" t="s">
        <v>240</v>
      </c>
      <c r="B208" s="7">
        <v>20.699999999999999</v>
      </c>
      <c r="C208" s="7">
        <v>0.10000000000000001</v>
      </c>
      <c r="D208" s="7">
        <v>1</v>
      </c>
      <c r="E208" s="7">
        <v>0</v>
      </c>
      <c r="F208" s="7">
        <v>513</v>
      </c>
      <c r="G208" s="7">
        <v>0.40000000000000002</v>
      </c>
    </row>
    <row r="209" ht="15.75">
      <c r="A209" s="7" t="s">
        <v>241</v>
      </c>
      <c r="B209" s="7">
        <v>20.800000000000001</v>
      </c>
      <c r="C209" s="7">
        <v>0.10000000000000001</v>
      </c>
      <c r="D209" s="7">
        <v>0</v>
      </c>
      <c r="E209" s="7">
        <v>0</v>
      </c>
      <c r="F209" s="7">
        <v>513</v>
      </c>
      <c r="G209" s="7">
        <v>0</v>
      </c>
    </row>
    <row r="210" ht="15.75">
      <c r="A210" s="7" t="s">
        <v>242</v>
      </c>
      <c r="B210" s="7">
        <v>20.899999999999999</v>
      </c>
      <c r="C210" s="7">
        <v>0.10000000000000001</v>
      </c>
      <c r="D210" s="7">
        <v>1</v>
      </c>
      <c r="E210" s="7">
        <v>0</v>
      </c>
      <c r="F210" s="7">
        <v>514</v>
      </c>
      <c r="G210" s="7">
        <v>1</v>
      </c>
    </row>
    <row r="211" ht="15.75">
      <c r="A211" s="7" t="s">
        <v>243</v>
      </c>
      <c r="B211" s="7">
        <v>21</v>
      </c>
      <c r="C211" s="7">
        <v>0.10000000000000001</v>
      </c>
      <c r="D211" s="7">
        <v>0</v>
      </c>
      <c r="E211" s="7">
        <v>2</v>
      </c>
      <c r="F211" s="7">
        <v>512</v>
      </c>
      <c r="G211" s="7">
        <v>-2.2000000000000002</v>
      </c>
    </row>
    <row r="212" ht="15.75">
      <c r="A212" s="7" t="s">
        <v>244</v>
      </c>
      <c r="B212" s="7">
        <v>21.100000000000001</v>
      </c>
      <c r="C212" s="7">
        <v>0.10000000000000001</v>
      </c>
      <c r="D212" s="7">
        <v>0</v>
      </c>
      <c r="E212" s="7">
        <v>13</v>
      </c>
      <c r="F212" s="7">
        <v>499</v>
      </c>
      <c r="G212" s="7">
        <v>-13.300000000000001</v>
      </c>
    </row>
    <row r="213" ht="15.75">
      <c r="A213" s="7" t="s">
        <v>245</v>
      </c>
      <c r="B213" s="7">
        <v>21.199999999999999</v>
      </c>
      <c r="C213" s="7">
        <v>0.10000000000000001</v>
      </c>
      <c r="D213" s="7">
        <v>0</v>
      </c>
      <c r="E213" s="7">
        <v>11</v>
      </c>
      <c r="F213" s="7">
        <v>487</v>
      </c>
      <c r="G213" s="7">
        <v>-11.300000000000001</v>
      </c>
    </row>
    <row r="214" ht="15.75">
      <c r="A214" s="7" t="s">
        <v>246</v>
      </c>
      <c r="B214" s="7">
        <v>21.300000000000001</v>
      </c>
      <c r="C214" s="7">
        <v>0.10000000000000001</v>
      </c>
      <c r="D214" s="7">
        <v>1</v>
      </c>
      <c r="E214" s="7">
        <v>5</v>
      </c>
      <c r="F214" s="7">
        <v>483</v>
      </c>
      <c r="G214" s="7">
        <v>-4</v>
      </c>
    </row>
    <row r="215" ht="15.75">
      <c r="A215" s="7" t="s">
        <v>247</v>
      </c>
      <c r="B215" s="7">
        <v>21.399999999999999</v>
      </c>
      <c r="C215" s="7">
        <v>0.10000000000000001</v>
      </c>
      <c r="D215" s="7">
        <v>3</v>
      </c>
      <c r="E215" s="7">
        <v>0</v>
      </c>
      <c r="F215" s="7">
        <v>486</v>
      </c>
      <c r="G215" s="7">
        <v>2.6000000000000001</v>
      </c>
    </row>
    <row r="216" ht="15.75">
      <c r="A216" s="7" t="s">
        <v>248</v>
      </c>
      <c r="B216" s="7">
        <v>21.5</v>
      </c>
      <c r="C216" s="7">
        <v>0.10000000000000001</v>
      </c>
      <c r="D216" s="7">
        <v>4</v>
      </c>
      <c r="E216" s="7">
        <v>0</v>
      </c>
      <c r="F216" s="7">
        <v>490</v>
      </c>
      <c r="G216" s="7">
        <v>4</v>
      </c>
    </row>
    <row r="217" ht="15.75">
      <c r="A217" s="7" t="s">
        <v>249</v>
      </c>
      <c r="B217" s="7">
        <v>21.600000000000001</v>
      </c>
      <c r="C217" s="7">
        <v>0.10000000000000001</v>
      </c>
      <c r="D217" s="7">
        <v>4</v>
      </c>
      <c r="E217" s="7">
        <v>0</v>
      </c>
      <c r="F217" s="7">
        <v>494</v>
      </c>
      <c r="G217" s="7">
        <v>3.7000000000000002</v>
      </c>
    </row>
    <row r="218" ht="15.75">
      <c r="A218" s="7" t="s">
        <v>250</v>
      </c>
      <c r="B218" s="7">
        <v>21.699999999999999</v>
      </c>
      <c r="C218" s="7">
        <v>0.10000000000000001</v>
      </c>
      <c r="D218" s="7">
        <v>6</v>
      </c>
      <c r="E218" s="7">
        <v>0</v>
      </c>
      <c r="F218" s="7">
        <v>500</v>
      </c>
      <c r="G218" s="7">
        <v>6</v>
      </c>
    </row>
    <row r="219" ht="15.75">
      <c r="A219" s="7" t="s">
        <v>251</v>
      </c>
      <c r="B219" s="7">
        <v>21.800000000000001</v>
      </c>
      <c r="C219" s="7">
        <v>0.10000000000000001</v>
      </c>
      <c r="D219" s="7">
        <v>7</v>
      </c>
      <c r="E219" s="7">
        <v>0</v>
      </c>
      <c r="F219" s="7">
        <v>507</v>
      </c>
      <c r="G219" s="7">
        <v>7.2000000000000002</v>
      </c>
    </row>
    <row r="220" ht="15.75">
      <c r="A220" s="7" t="s">
        <v>252</v>
      </c>
      <c r="B220" s="7">
        <v>21.899999999999999</v>
      </c>
      <c r="C220" s="7">
        <v>0.10000000000000001</v>
      </c>
      <c r="D220" s="7">
        <v>0</v>
      </c>
      <c r="E220" s="7">
        <v>3</v>
      </c>
      <c r="F220" s="7">
        <v>504</v>
      </c>
      <c r="G220" s="7">
        <v>-2.7000000000000002</v>
      </c>
    </row>
    <row r="221" ht="15.75">
      <c r="A221" s="7" t="s">
        <v>253</v>
      </c>
      <c r="B221" s="7">
        <v>22</v>
      </c>
      <c r="C221" s="7">
        <v>0.10000000000000001</v>
      </c>
      <c r="D221" s="7">
        <v>0</v>
      </c>
      <c r="E221" s="7">
        <v>4</v>
      </c>
      <c r="F221" s="7">
        <v>500</v>
      </c>
      <c r="G221" s="7">
        <v>-3.8999999999999999</v>
      </c>
    </row>
    <row r="222" ht="15.75">
      <c r="A222" s="7" t="s">
        <v>254</v>
      </c>
      <c r="B222" s="7">
        <v>22.100000000000001</v>
      </c>
      <c r="C222" s="7">
        <v>0.10000000000000001</v>
      </c>
      <c r="D222" s="7">
        <v>0</v>
      </c>
      <c r="E222" s="7">
        <v>2</v>
      </c>
      <c r="F222" s="7">
        <v>498</v>
      </c>
      <c r="G222" s="7">
        <v>-1.8</v>
      </c>
    </row>
    <row r="223" ht="15.75">
      <c r="A223" s="7" t="s">
        <v>255</v>
      </c>
      <c r="B223" s="7">
        <v>22.199999999999999</v>
      </c>
      <c r="C223" s="7">
        <v>0.10000000000000001</v>
      </c>
      <c r="D223" s="7">
        <v>1</v>
      </c>
      <c r="E223" s="7">
        <v>0</v>
      </c>
      <c r="F223" s="7">
        <v>500</v>
      </c>
      <c r="G223" s="7">
        <v>1.2</v>
      </c>
    </row>
    <row r="224" ht="15.75">
      <c r="A224" s="7" t="s">
        <v>256</v>
      </c>
      <c r="B224" s="7">
        <v>22.300000000000001</v>
      </c>
      <c r="C224" s="7">
        <v>0.10000000000000001</v>
      </c>
      <c r="D224" s="7">
        <v>0</v>
      </c>
      <c r="E224" s="7">
        <v>2</v>
      </c>
      <c r="F224" s="7">
        <v>498</v>
      </c>
      <c r="G224" s="7">
        <v>-1.5</v>
      </c>
    </row>
    <row r="225" ht="15.75">
      <c r="A225" s="7" t="s">
        <v>257</v>
      </c>
      <c r="B225" s="7">
        <v>22.399999999999999</v>
      </c>
      <c r="C225" s="7">
        <v>0.10000000000000001</v>
      </c>
      <c r="D225" s="7">
        <v>0</v>
      </c>
      <c r="E225" s="7">
        <v>2</v>
      </c>
      <c r="F225" s="7">
        <v>496</v>
      </c>
      <c r="G225" s="7">
        <v>-2.2999999999999998</v>
      </c>
    </row>
    <row r="226" ht="15.75">
      <c r="A226" s="7" t="s">
        <v>258</v>
      </c>
      <c r="B226" s="7">
        <v>22.5</v>
      </c>
      <c r="C226" s="7">
        <v>0.10000000000000001</v>
      </c>
      <c r="D226" s="7">
        <v>0</v>
      </c>
      <c r="E226" s="7">
        <v>2</v>
      </c>
      <c r="F226" s="7">
        <v>493</v>
      </c>
      <c r="G226" s="7">
        <v>-2.5</v>
      </c>
    </row>
    <row r="227" ht="15.75">
      <c r="A227" s="7" t="s">
        <v>259</v>
      </c>
      <c r="B227" s="7">
        <v>22.600000000000001</v>
      </c>
      <c r="C227" s="7">
        <v>0.10000000000000001</v>
      </c>
      <c r="D227" s="7">
        <v>1</v>
      </c>
      <c r="E227" s="7">
        <v>0</v>
      </c>
      <c r="F227" s="7">
        <v>495</v>
      </c>
      <c r="G227" s="7">
        <v>1.2</v>
      </c>
    </row>
    <row r="228" ht="15.75">
      <c r="A228" s="7" t="s">
        <v>260</v>
      </c>
      <c r="B228" s="7">
        <v>22.699999999999999</v>
      </c>
      <c r="C228" s="7">
        <v>0.10000000000000001</v>
      </c>
      <c r="D228" s="7">
        <v>7</v>
      </c>
      <c r="E228" s="7">
        <v>0</v>
      </c>
      <c r="F228" s="7">
        <v>501</v>
      </c>
      <c r="G228" s="7">
        <v>7</v>
      </c>
    </row>
    <row r="229" ht="15.75">
      <c r="A229" s="7" t="s">
        <v>261</v>
      </c>
      <c r="B229" s="7">
        <v>22.800000000000001</v>
      </c>
      <c r="C229" s="7">
        <v>0.10000000000000001</v>
      </c>
      <c r="D229" s="7">
        <v>8</v>
      </c>
      <c r="E229" s="7">
        <v>0</v>
      </c>
      <c r="F229" s="7">
        <v>510</v>
      </c>
      <c r="G229" s="7">
        <v>8</v>
      </c>
    </row>
    <row r="230" ht="15.75">
      <c r="A230" s="7" t="s">
        <v>262</v>
      </c>
      <c r="B230" s="7">
        <v>22.899999999999999</v>
      </c>
      <c r="C230" s="7">
        <v>0.10000000000000001</v>
      </c>
      <c r="D230" s="7">
        <v>8</v>
      </c>
      <c r="E230" s="7">
        <v>0</v>
      </c>
      <c r="F230" s="7">
        <v>518</v>
      </c>
      <c r="G230" s="7">
        <v>8.0999999999999996</v>
      </c>
    </row>
    <row r="231" ht="15.75">
      <c r="A231" s="7" t="s">
        <v>263</v>
      </c>
      <c r="B231" s="7">
        <v>23</v>
      </c>
      <c r="C231" s="7">
        <v>0.10000000000000001</v>
      </c>
      <c r="D231" s="7">
        <v>3</v>
      </c>
      <c r="E231" s="7">
        <v>0</v>
      </c>
      <c r="F231" s="7">
        <v>520</v>
      </c>
      <c r="G231" s="7">
        <v>2.7999999999999998</v>
      </c>
    </row>
    <row r="232" ht="15.75">
      <c r="A232" s="7" t="s">
        <v>264</v>
      </c>
      <c r="B232" s="7">
        <v>23.100000000000001</v>
      </c>
      <c r="C232" s="7">
        <v>0.10000000000000001</v>
      </c>
      <c r="D232" s="7">
        <v>4</v>
      </c>
      <c r="E232" s="7">
        <v>0</v>
      </c>
      <c r="F232" s="7">
        <v>524</v>
      </c>
      <c r="G232" s="7">
        <v>3.7000000000000002</v>
      </c>
    </row>
    <row r="233" ht="15.75">
      <c r="A233" s="7" t="s">
        <v>265</v>
      </c>
      <c r="B233" s="7">
        <v>23.199999999999999</v>
      </c>
      <c r="C233" s="7">
        <v>0.10000000000000001</v>
      </c>
      <c r="D233" s="7">
        <v>18</v>
      </c>
      <c r="E233" s="7">
        <v>0</v>
      </c>
      <c r="F233" s="7">
        <v>543</v>
      </c>
      <c r="G233" s="7">
        <v>18.5</v>
      </c>
    </row>
    <row r="234" ht="15.75">
      <c r="A234" s="7" t="s">
        <v>266</v>
      </c>
      <c r="B234" s="7">
        <v>23.300000000000001</v>
      </c>
      <c r="C234" s="7">
        <v>0.10000000000000001</v>
      </c>
      <c r="D234" s="7">
        <v>16</v>
      </c>
      <c r="E234" s="7">
        <v>0</v>
      </c>
      <c r="F234" s="7">
        <v>559</v>
      </c>
      <c r="G234" s="7">
        <v>16.100000000000001</v>
      </c>
    </row>
    <row r="235" ht="15.75">
      <c r="A235" s="7" t="s">
        <v>267</v>
      </c>
      <c r="B235" s="7">
        <v>23.399999999999999</v>
      </c>
      <c r="C235" s="7">
        <v>0.10000000000000001</v>
      </c>
      <c r="D235" s="7">
        <v>10</v>
      </c>
      <c r="E235" s="7">
        <v>0</v>
      </c>
      <c r="F235" s="7">
        <v>568</v>
      </c>
      <c r="G235" s="7">
        <v>9.9000000000000004</v>
      </c>
    </row>
    <row r="236" ht="15.75">
      <c r="A236" s="7" t="s">
        <v>268</v>
      </c>
      <c r="B236" s="7">
        <v>23.5</v>
      </c>
      <c r="C236" s="7">
        <v>0.10000000000000001</v>
      </c>
      <c r="D236" s="7">
        <v>8</v>
      </c>
      <c r="E236" s="7">
        <v>0</v>
      </c>
      <c r="F236" s="7">
        <v>577</v>
      </c>
      <c r="G236" s="7">
        <v>8.3000000000000007</v>
      </c>
    </row>
    <row r="237" ht="15.75">
      <c r="A237" s="7" t="s">
        <v>269</v>
      </c>
      <c r="B237" s="7">
        <v>23.600000000000001</v>
      </c>
      <c r="C237" s="7">
        <v>0.10000000000000001</v>
      </c>
      <c r="D237" s="7">
        <v>8</v>
      </c>
      <c r="E237" s="7">
        <v>0</v>
      </c>
      <c r="F237" s="7">
        <v>585</v>
      </c>
      <c r="G237" s="7">
        <v>8.0999999999999996</v>
      </c>
    </row>
    <row r="238" ht="15.75">
      <c r="A238" s="7" t="s">
        <v>270</v>
      </c>
      <c r="B238" s="7">
        <v>23.699999999999999</v>
      </c>
      <c r="C238" s="7">
        <v>0.10000000000000001</v>
      </c>
      <c r="D238" s="7">
        <v>5</v>
      </c>
      <c r="E238" s="7">
        <v>0</v>
      </c>
      <c r="F238" s="7">
        <v>590</v>
      </c>
      <c r="G238" s="7">
        <v>5.0999999999999996</v>
      </c>
    </row>
    <row r="239" ht="15.75">
      <c r="A239" s="7" t="s">
        <v>271</v>
      </c>
      <c r="B239" s="7">
        <v>23.800000000000001</v>
      </c>
      <c r="C239" s="7">
        <v>0.10000000000000001</v>
      </c>
      <c r="D239" s="7">
        <v>3</v>
      </c>
      <c r="E239" s="7">
        <v>0</v>
      </c>
      <c r="F239" s="7">
        <v>593</v>
      </c>
      <c r="G239" s="7">
        <v>3.3999999999999999</v>
      </c>
    </row>
    <row r="240" ht="15.75">
      <c r="A240" s="7" t="s">
        <v>272</v>
      </c>
      <c r="B240" s="7">
        <v>23.899999999999999</v>
      </c>
      <c r="C240" s="7">
        <v>0.10000000000000001</v>
      </c>
      <c r="D240" s="7">
        <v>1</v>
      </c>
      <c r="E240" s="7">
        <v>1</v>
      </c>
      <c r="F240" s="7">
        <v>594</v>
      </c>
      <c r="G240" s="7">
        <v>0.59999999999999998</v>
      </c>
    </row>
    <row r="241" ht="15.75">
      <c r="A241" s="7" t="s">
        <v>273</v>
      </c>
      <c r="B241" s="7">
        <v>24</v>
      </c>
      <c r="C241" s="7">
        <v>0.10000000000000001</v>
      </c>
      <c r="D241" s="7">
        <v>0</v>
      </c>
      <c r="E241" s="7">
        <v>6</v>
      </c>
      <c r="F241" s="7">
        <v>588</v>
      </c>
      <c r="G241" s="7">
        <v>-6.0999999999999996</v>
      </c>
    </row>
    <row r="242" ht="15.75">
      <c r="A242" s="7" t="s">
        <v>274</v>
      </c>
      <c r="B242" s="7">
        <v>24.100000000000001</v>
      </c>
      <c r="C242" s="7">
        <v>0.10000000000000001</v>
      </c>
      <c r="D242" s="7">
        <v>1</v>
      </c>
      <c r="E242" s="7">
        <v>1</v>
      </c>
      <c r="F242" s="7">
        <v>588</v>
      </c>
      <c r="G242" s="7">
        <v>0.10000000000000001</v>
      </c>
    </row>
    <row r="243" ht="15.75">
      <c r="A243" s="7" t="s">
        <v>275</v>
      </c>
      <c r="B243" s="7">
        <v>24.199999999999999</v>
      </c>
      <c r="C243" s="7">
        <v>0.10000000000000001</v>
      </c>
      <c r="D243" s="7">
        <v>3</v>
      </c>
      <c r="E243" s="7">
        <v>0</v>
      </c>
      <c r="F243" s="7">
        <v>591</v>
      </c>
      <c r="G243" s="7">
        <v>3.1000000000000001</v>
      </c>
    </row>
    <row r="244" ht="15.75">
      <c r="A244" s="7" t="s">
        <v>276</v>
      </c>
      <c r="B244" s="7">
        <v>24.300000000000001</v>
      </c>
      <c r="C244" s="7">
        <v>0.10000000000000001</v>
      </c>
      <c r="D244" s="7">
        <v>10</v>
      </c>
      <c r="E244" s="7">
        <v>0</v>
      </c>
      <c r="F244" s="7">
        <v>601</v>
      </c>
      <c r="G244" s="7">
        <v>9.6999999999999993</v>
      </c>
    </row>
    <row r="245" ht="15.75">
      <c r="A245" s="7" t="s">
        <v>277</v>
      </c>
      <c r="B245" s="7">
        <v>24.399999999999999</v>
      </c>
      <c r="C245" s="7">
        <v>0.10000000000000001</v>
      </c>
      <c r="D245" s="7">
        <v>14</v>
      </c>
      <c r="E245" s="7">
        <v>0</v>
      </c>
      <c r="F245" s="7">
        <v>615</v>
      </c>
      <c r="G245" s="7">
        <v>13.699999999999999</v>
      </c>
    </row>
    <row r="246" ht="15.75">
      <c r="A246" s="7" t="s">
        <v>278</v>
      </c>
      <c r="B246" s="7">
        <v>24.5</v>
      </c>
      <c r="C246" s="7">
        <v>0.10000000000000001</v>
      </c>
      <c r="D246" s="7">
        <v>14</v>
      </c>
      <c r="E246" s="7">
        <v>0</v>
      </c>
      <c r="F246" s="7">
        <v>628</v>
      </c>
      <c r="G246" s="7">
        <v>14</v>
      </c>
    </row>
    <row r="247" ht="15.75">
      <c r="A247" s="7" t="s">
        <v>279</v>
      </c>
      <c r="B247" s="7">
        <v>24.600000000000001</v>
      </c>
      <c r="C247" s="7">
        <v>0.10000000000000001</v>
      </c>
      <c r="D247" s="7">
        <v>16</v>
      </c>
      <c r="E247" s="7">
        <v>0</v>
      </c>
      <c r="F247" s="7">
        <v>645</v>
      </c>
      <c r="G247" s="7">
        <v>16.199999999999999</v>
      </c>
    </row>
    <row r="248" ht="15.75">
      <c r="A248" s="7" t="s">
        <v>280</v>
      </c>
      <c r="B248" s="7">
        <v>24.699999999999999</v>
      </c>
      <c r="C248" s="7">
        <v>0.10000000000000001</v>
      </c>
      <c r="D248" s="7">
        <v>16</v>
      </c>
      <c r="E248" s="7">
        <v>0</v>
      </c>
      <c r="F248" s="7">
        <v>661</v>
      </c>
      <c r="G248" s="7">
        <v>16</v>
      </c>
    </row>
    <row r="249" ht="15.75">
      <c r="A249" s="7" t="s">
        <v>281</v>
      </c>
      <c r="B249" s="7">
        <v>24.800000000000001</v>
      </c>
      <c r="C249" s="7">
        <v>0.10000000000000001</v>
      </c>
      <c r="D249" s="7">
        <v>12</v>
      </c>
      <c r="E249" s="7">
        <v>0</v>
      </c>
      <c r="F249" s="7">
        <v>672</v>
      </c>
      <c r="G249" s="7">
        <v>11.699999999999999</v>
      </c>
    </row>
    <row r="250" ht="15.75">
      <c r="A250" s="7" t="s">
        <v>282</v>
      </c>
      <c r="B250" s="7">
        <v>24.899999999999999</v>
      </c>
      <c r="C250" s="7">
        <v>0.10000000000000001</v>
      </c>
      <c r="D250" s="7">
        <v>1</v>
      </c>
      <c r="E250" s="7">
        <v>2</v>
      </c>
      <c r="F250" s="7">
        <v>671</v>
      </c>
      <c r="G250" s="7">
        <v>-1.2</v>
      </c>
    </row>
    <row r="251" ht="15.75">
      <c r="A251" s="7" t="s">
        <v>24</v>
      </c>
      <c r="B251" s="7">
        <v>25</v>
      </c>
      <c r="C251" s="7">
        <v>0.10000000000000001</v>
      </c>
      <c r="D251" s="7">
        <v>2</v>
      </c>
      <c r="E251" s="7">
        <v>0</v>
      </c>
      <c r="F251" s="7">
        <v>673</v>
      </c>
      <c r="G251" s="7">
        <v>2.2999999999999998</v>
      </c>
    </row>
    <row r="252" ht="15.75">
      <c r="A252" s="7" t="s">
        <v>283</v>
      </c>
      <c r="B252" s="7">
        <v>25.100000000000001</v>
      </c>
      <c r="C252" s="7">
        <v>0.10000000000000001</v>
      </c>
      <c r="D252" s="7">
        <v>1</v>
      </c>
      <c r="E252" s="7">
        <v>0</v>
      </c>
      <c r="F252" s="7">
        <v>674</v>
      </c>
      <c r="G252" s="7">
        <v>0.5</v>
      </c>
    </row>
    <row r="253" ht="15.75">
      <c r="A253" s="7" t="s">
        <v>284</v>
      </c>
      <c r="B253" s="7">
        <v>25.199999999999999</v>
      </c>
      <c r="C253" s="7">
        <v>0.10000000000000001</v>
      </c>
      <c r="D253" s="7">
        <v>6</v>
      </c>
      <c r="E253" s="7">
        <v>0</v>
      </c>
      <c r="F253" s="7">
        <v>680</v>
      </c>
      <c r="G253" s="7">
        <v>6.4000000000000004</v>
      </c>
    </row>
    <row r="254" ht="15.75">
      <c r="A254" s="7" t="s">
        <v>285</v>
      </c>
      <c r="B254" s="7">
        <v>25.300000000000001</v>
      </c>
      <c r="C254" s="7">
        <v>0.10000000000000001</v>
      </c>
      <c r="D254" s="7">
        <v>8</v>
      </c>
      <c r="E254" s="7">
        <v>0</v>
      </c>
      <c r="F254" s="7">
        <v>689</v>
      </c>
      <c r="G254" s="7">
        <v>8.3000000000000007</v>
      </c>
    </row>
    <row r="255" ht="15.75">
      <c r="A255" s="7" t="s">
        <v>286</v>
      </c>
      <c r="B255" s="7">
        <v>25.399999999999999</v>
      </c>
      <c r="C255" s="7">
        <v>0.10000000000000001</v>
      </c>
      <c r="D255" s="7">
        <v>3</v>
      </c>
      <c r="E255" s="7">
        <v>3</v>
      </c>
      <c r="F255" s="7">
        <v>688</v>
      </c>
      <c r="G255" s="7">
        <v>-0.29999999999999999</v>
      </c>
    </row>
    <row r="256" ht="15.75">
      <c r="A256" s="7" t="s">
        <v>287</v>
      </c>
      <c r="B256" s="7">
        <v>25.5</v>
      </c>
      <c r="C256" s="7">
        <v>0.10000000000000001</v>
      </c>
      <c r="D256" s="7">
        <v>0</v>
      </c>
      <c r="E256" s="7">
        <v>13</v>
      </c>
      <c r="F256" s="7">
        <v>675</v>
      </c>
      <c r="G256" s="7">
        <v>-13.5</v>
      </c>
    </row>
    <row r="257" ht="15.75">
      <c r="A257" s="7" t="s">
        <v>288</v>
      </c>
      <c r="B257" s="7">
        <v>25.600000000000001</v>
      </c>
      <c r="C257" s="7">
        <v>0.10000000000000001</v>
      </c>
      <c r="D257" s="7">
        <v>0</v>
      </c>
      <c r="E257" s="7">
        <v>19</v>
      </c>
      <c r="F257" s="7">
        <v>656</v>
      </c>
      <c r="G257" s="7">
        <v>-19.100000000000001</v>
      </c>
    </row>
    <row r="258" ht="15.75">
      <c r="A258" s="7" t="s">
        <v>289</v>
      </c>
      <c r="B258" s="7">
        <v>25.699999999999999</v>
      </c>
      <c r="C258" s="7">
        <v>0.10000000000000001</v>
      </c>
      <c r="D258" s="7">
        <v>0</v>
      </c>
      <c r="E258" s="7">
        <v>17</v>
      </c>
      <c r="F258" s="7">
        <v>639</v>
      </c>
      <c r="G258" s="7">
        <v>-16.600000000000001</v>
      </c>
    </row>
    <row r="259" ht="15.75">
      <c r="A259" s="7" t="s">
        <v>290</v>
      </c>
      <c r="B259" s="7">
        <v>25.800000000000001</v>
      </c>
      <c r="C259" s="7">
        <v>0.10000000000000001</v>
      </c>
      <c r="D259" s="7">
        <v>0</v>
      </c>
      <c r="E259" s="7">
        <v>8</v>
      </c>
      <c r="F259" s="7">
        <v>631</v>
      </c>
      <c r="G259" s="7">
        <v>-8.3000000000000007</v>
      </c>
    </row>
    <row r="260" ht="15.75">
      <c r="A260" s="7" t="s">
        <v>291</v>
      </c>
      <c r="B260" s="7">
        <v>25.899999999999999</v>
      </c>
      <c r="C260" s="7">
        <v>0.10000000000000001</v>
      </c>
      <c r="D260" s="7">
        <v>0</v>
      </c>
      <c r="E260" s="7">
        <v>20</v>
      </c>
      <c r="F260" s="7">
        <v>611</v>
      </c>
      <c r="G260" s="7">
        <v>-20.100000000000001</v>
      </c>
    </row>
    <row r="261" ht="15.75">
      <c r="A261" s="7" t="s">
        <v>292</v>
      </c>
      <c r="B261" s="7">
        <v>26</v>
      </c>
      <c r="C261" s="7">
        <v>0.10000000000000001</v>
      </c>
      <c r="D261" s="7">
        <v>0</v>
      </c>
      <c r="E261" s="7">
        <v>15</v>
      </c>
      <c r="F261" s="7">
        <v>596</v>
      </c>
      <c r="G261" s="7">
        <v>-14.800000000000001</v>
      </c>
    </row>
    <row r="262" ht="15.75">
      <c r="A262" s="7" t="s">
        <v>293</v>
      </c>
      <c r="B262" s="7">
        <v>26.100000000000001</v>
      </c>
      <c r="C262" s="7">
        <v>0.10000000000000001</v>
      </c>
      <c r="D262" s="7">
        <v>0</v>
      </c>
      <c r="E262" s="7">
        <v>19</v>
      </c>
      <c r="F262" s="7">
        <v>577</v>
      </c>
      <c r="G262" s="7">
        <v>-19.300000000000001</v>
      </c>
    </row>
    <row r="263" ht="15.75">
      <c r="A263" s="7" t="s">
        <v>294</v>
      </c>
      <c r="B263" s="7">
        <v>26.199999999999999</v>
      </c>
      <c r="C263" s="7">
        <v>0.10000000000000001</v>
      </c>
      <c r="D263" s="7">
        <v>0</v>
      </c>
      <c r="E263" s="7">
        <v>19</v>
      </c>
      <c r="F263" s="7">
        <v>558</v>
      </c>
      <c r="G263" s="7">
        <v>-18.600000000000001</v>
      </c>
    </row>
    <row r="264" ht="15.75">
      <c r="A264" s="7" t="s">
        <v>295</v>
      </c>
      <c r="B264" s="7">
        <v>26.300000000000001</v>
      </c>
      <c r="C264" s="7">
        <v>0.10000000000000001</v>
      </c>
      <c r="D264" s="7">
        <v>0</v>
      </c>
      <c r="E264" s="7">
        <v>14</v>
      </c>
      <c r="F264" s="7">
        <v>544</v>
      </c>
      <c r="G264" s="7">
        <v>-13.699999999999999</v>
      </c>
    </row>
    <row r="265" ht="15.75">
      <c r="A265" s="7" t="s">
        <v>296</v>
      </c>
      <c r="B265" s="7">
        <v>26.399999999999999</v>
      </c>
      <c r="C265" s="7">
        <v>0.10000000000000001</v>
      </c>
      <c r="D265" s="7">
        <v>0</v>
      </c>
      <c r="E265" s="7">
        <v>13</v>
      </c>
      <c r="F265" s="7">
        <v>532</v>
      </c>
      <c r="G265" s="7">
        <v>-12.800000000000001</v>
      </c>
    </row>
    <row r="266" ht="15.75">
      <c r="A266" s="7" t="s">
        <v>297</v>
      </c>
      <c r="B266" s="7">
        <v>26.5</v>
      </c>
      <c r="C266" s="7">
        <v>0.10000000000000001</v>
      </c>
      <c r="D266" s="7">
        <v>0</v>
      </c>
      <c r="E266" s="7">
        <v>12</v>
      </c>
      <c r="F266" s="7">
        <v>519</v>
      </c>
      <c r="G266" s="7">
        <v>-12.5</v>
      </c>
    </row>
    <row r="267" ht="15.75">
      <c r="A267" s="7" t="s">
        <v>298</v>
      </c>
      <c r="B267" s="7">
        <v>26.600000000000001</v>
      </c>
      <c r="C267" s="7">
        <v>0.10000000000000001</v>
      </c>
      <c r="D267" s="7">
        <v>0</v>
      </c>
      <c r="E267" s="7">
        <v>11</v>
      </c>
      <c r="F267" s="7">
        <v>508</v>
      </c>
      <c r="G267" s="7">
        <v>-11.199999999999999</v>
      </c>
    </row>
    <row r="268" ht="15.75">
      <c r="A268" s="7" t="s">
        <v>299</v>
      </c>
      <c r="B268" s="7">
        <v>26.699999999999999</v>
      </c>
      <c r="C268" s="7">
        <v>0.10000000000000001</v>
      </c>
      <c r="D268" s="7">
        <v>0</v>
      </c>
      <c r="E268" s="7">
        <v>4</v>
      </c>
      <c r="F268" s="7">
        <v>504</v>
      </c>
      <c r="G268" s="7">
        <v>-3.7000000000000002</v>
      </c>
    </row>
    <row r="269" ht="15.75">
      <c r="A269" s="7" t="s">
        <v>300</v>
      </c>
      <c r="B269" s="7">
        <v>26.800000000000001</v>
      </c>
      <c r="C269" s="7">
        <v>0.10000000000000001</v>
      </c>
      <c r="D269" s="7">
        <v>1</v>
      </c>
      <c r="E269" s="7">
        <v>0</v>
      </c>
      <c r="F269" s="7">
        <v>506</v>
      </c>
      <c r="G269" s="7">
        <v>1.3999999999999999</v>
      </c>
    </row>
    <row r="270" ht="15.75">
      <c r="A270" s="7" t="s">
        <v>301</v>
      </c>
      <c r="B270" s="7">
        <v>26.899999999999999</v>
      </c>
      <c r="C270" s="7">
        <v>0.10000000000000001</v>
      </c>
      <c r="D270" s="7">
        <v>6</v>
      </c>
      <c r="E270" s="7">
        <v>0</v>
      </c>
      <c r="F270" s="7">
        <v>511</v>
      </c>
      <c r="G270" s="7">
        <v>5.5999999999999996</v>
      </c>
    </row>
    <row r="271" ht="15.75">
      <c r="A271" s="7" t="s">
        <v>302</v>
      </c>
      <c r="B271" s="7">
        <v>27</v>
      </c>
      <c r="C271" s="7">
        <v>0.10000000000000001</v>
      </c>
      <c r="D271" s="7">
        <v>5</v>
      </c>
      <c r="E271" s="7">
        <v>0</v>
      </c>
      <c r="F271" s="7">
        <v>516</v>
      </c>
      <c r="G271" s="7">
        <v>5.4000000000000004</v>
      </c>
    </row>
    <row r="272" ht="15.75">
      <c r="A272" s="7" t="s">
        <v>303</v>
      </c>
      <c r="B272" s="7">
        <v>27.100000000000001</v>
      </c>
      <c r="C272" s="7">
        <v>0.10000000000000001</v>
      </c>
      <c r="D272" s="7">
        <v>6</v>
      </c>
      <c r="E272" s="7">
        <v>0</v>
      </c>
      <c r="F272" s="7">
        <v>522</v>
      </c>
      <c r="G272" s="7">
        <v>5.5999999999999996</v>
      </c>
    </row>
    <row r="273" ht="15.75">
      <c r="A273" s="7" t="s">
        <v>304</v>
      </c>
      <c r="B273" s="7">
        <v>27.199999999999999</v>
      </c>
      <c r="C273" s="7">
        <v>0.10000000000000001</v>
      </c>
      <c r="D273" s="7">
        <v>9</v>
      </c>
      <c r="E273" s="7">
        <v>0</v>
      </c>
      <c r="F273" s="7">
        <v>531</v>
      </c>
      <c r="G273" s="7">
        <v>8.8000000000000007</v>
      </c>
    </row>
    <row r="274" ht="15.75">
      <c r="A274" s="7" t="s">
        <v>305</v>
      </c>
      <c r="B274" s="7">
        <v>27.300000000000001</v>
      </c>
      <c r="C274" s="7">
        <v>0.10000000000000001</v>
      </c>
      <c r="D274" s="7">
        <v>7</v>
      </c>
      <c r="E274" s="7">
        <v>0</v>
      </c>
      <c r="F274" s="7">
        <v>538</v>
      </c>
      <c r="G274" s="7">
        <v>7.5</v>
      </c>
    </row>
    <row r="275" ht="15.75">
      <c r="A275" s="7" t="s">
        <v>306</v>
      </c>
      <c r="B275" s="7">
        <v>27.399999999999999</v>
      </c>
      <c r="C275" s="7">
        <v>0.10000000000000001</v>
      </c>
      <c r="D275" s="7">
        <v>1</v>
      </c>
      <c r="E275" s="7">
        <v>0</v>
      </c>
      <c r="F275" s="7">
        <v>539</v>
      </c>
      <c r="G275" s="7">
        <v>0.69999999999999996</v>
      </c>
    </row>
    <row r="276" ht="15.75">
      <c r="A276" s="7" t="s">
        <v>307</v>
      </c>
      <c r="B276" s="7">
        <v>27.5</v>
      </c>
      <c r="C276" s="7">
        <v>0.10000000000000001</v>
      </c>
      <c r="D276" s="7">
        <v>1</v>
      </c>
      <c r="E276" s="7">
        <v>0</v>
      </c>
      <c r="F276" s="7">
        <v>539</v>
      </c>
      <c r="G276" s="7">
        <v>0.40000000000000002</v>
      </c>
    </row>
    <row r="277" ht="15.75">
      <c r="A277" s="7" t="s">
        <v>308</v>
      </c>
      <c r="B277" s="7">
        <v>27.600000000000001</v>
      </c>
      <c r="C277" s="7">
        <v>0.10000000000000001</v>
      </c>
      <c r="D277" s="7">
        <v>2</v>
      </c>
      <c r="E277" s="7">
        <v>0</v>
      </c>
      <c r="F277" s="7">
        <v>542</v>
      </c>
      <c r="G277" s="7">
        <v>2.1000000000000001</v>
      </c>
    </row>
    <row r="278" ht="15.75">
      <c r="A278" s="7" t="s">
        <v>309</v>
      </c>
      <c r="B278" s="7">
        <v>27.699999999999999</v>
      </c>
      <c r="C278" s="7">
        <v>0.10000000000000001</v>
      </c>
      <c r="D278" s="7">
        <v>0</v>
      </c>
      <c r="E278" s="7">
        <v>2</v>
      </c>
      <c r="F278" s="7">
        <v>539</v>
      </c>
      <c r="G278" s="7">
        <v>-2.2999999999999998</v>
      </c>
    </row>
    <row r="279" ht="15.75">
      <c r="A279" s="7" t="s">
        <v>310</v>
      </c>
      <c r="B279" s="7">
        <v>27.800000000000001</v>
      </c>
      <c r="C279" s="7">
        <v>0.10000000000000001</v>
      </c>
      <c r="D279" s="7">
        <v>2</v>
      </c>
      <c r="E279" s="7">
        <v>2</v>
      </c>
      <c r="F279" s="7">
        <v>539</v>
      </c>
      <c r="G279" s="7">
        <v>-0.40000000000000002</v>
      </c>
    </row>
    <row r="280" ht="15.75">
      <c r="A280" s="7" t="s">
        <v>311</v>
      </c>
      <c r="B280" s="7">
        <v>27.899999999999999</v>
      </c>
      <c r="C280" s="7">
        <v>0.10000000000000001</v>
      </c>
      <c r="D280" s="7">
        <v>5</v>
      </c>
      <c r="E280" s="7">
        <v>0</v>
      </c>
      <c r="F280" s="7">
        <v>544</v>
      </c>
      <c r="G280" s="7">
        <v>5.0999999999999996</v>
      </c>
    </row>
    <row r="281" ht="15.75">
      <c r="A281" s="7" t="s">
        <v>312</v>
      </c>
      <c r="B281" s="7">
        <v>28</v>
      </c>
      <c r="C281" s="7">
        <v>0.10000000000000001</v>
      </c>
      <c r="D281" s="7">
        <v>1</v>
      </c>
      <c r="E281" s="7">
        <v>2</v>
      </c>
      <c r="F281" s="7">
        <v>543</v>
      </c>
      <c r="G281" s="7">
        <v>-0.5</v>
      </c>
    </row>
    <row r="282" ht="15.75">
      <c r="A282" s="7" t="s">
        <v>313</v>
      </c>
      <c r="B282" s="7">
        <v>28.100000000000001</v>
      </c>
      <c r="C282" s="7">
        <v>0.10000000000000001</v>
      </c>
      <c r="D282" s="7">
        <v>0</v>
      </c>
      <c r="E282" s="7">
        <v>3</v>
      </c>
      <c r="F282" s="7">
        <v>540</v>
      </c>
      <c r="G282" s="7">
        <v>-3.2999999999999998</v>
      </c>
    </row>
    <row r="283" ht="15.75">
      <c r="A283" s="7" t="s">
        <v>314</v>
      </c>
      <c r="B283" s="7">
        <v>28.199999999999999</v>
      </c>
      <c r="C283" s="7">
        <v>0.10000000000000001</v>
      </c>
      <c r="D283" s="7">
        <v>0</v>
      </c>
      <c r="E283" s="7">
        <v>13</v>
      </c>
      <c r="F283" s="7">
        <v>527</v>
      </c>
      <c r="G283" s="7">
        <v>-12.9</v>
      </c>
    </row>
    <row r="284" ht="15.75">
      <c r="A284" s="7" t="s">
        <v>315</v>
      </c>
      <c r="B284" s="7">
        <v>28.300000000000001</v>
      </c>
      <c r="C284" s="7">
        <v>0.10000000000000001</v>
      </c>
      <c r="D284" s="7">
        <v>0</v>
      </c>
      <c r="E284" s="7">
        <v>10</v>
      </c>
      <c r="F284" s="7">
        <v>517</v>
      </c>
      <c r="G284" s="7">
        <v>-10.4</v>
      </c>
    </row>
    <row r="285" ht="15.75">
      <c r="A285" s="7" t="s">
        <v>316</v>
      </c>
      <c r="B285" s="7">
        <v>28.399999999999999</v>
      </c>
      <c r="C285" s="7">
        <v>0.10000000000000001</v>
      </c>
      <c r="D285" s="7">
        <v>0</v>
      </c>
      <c r="E285" s="7">
        <v>5</v>
      </c>
      <c r="F285" s="7">
        <v>511</v>
      </c>
      <c r="G285" s="7">
        <v>-5.4000000000000004</v>
      </c>
    </row>
    <row r="286" ht="15.75">
      <c r="A286" s="7" t="s">
        <v>317</v>
      </c>
      <c r="B286" s="7">
        <v>28.5</v>
      </c>
      <c r="C286" s="7">
        <v>0.10000000000000001</v>
      </c>
      <c r="D286" s="7">
        <v>0</v>
      </c>
      <c r="E286" s="7">
        <v>10</v>
      </c>
      <c r="F286" s="7">
        <v>502</v>
      </c>
      <c r="G286" s="7">
        <v>-9.8000000000000007</v>
      </c>
    </row>
    <row r="287" ht="15.75">
      <c r="A287" s="7" t="s">
        <v>318</v>
      </c>
      <c r="B287" s="7">
        <v>28.600000000000001</v>
      </c>
      <c r="C287" s="7">
        <v>0.10000000000000001</v>
      </c>
      <c r="D287" s="7">
        <v>0</v>
      </c>
      <c r="E287" s="7">
        <v>5</v>
      </c>
      <c r="F287" s="7">
        <v>496</v>
      </c>
      <c r="G287" s="7">
        <v>-5.4000000000000004</v>
      </c>
    </row>
    <row r="288" ht="15.75">
      <c r="A288" s="7" t="s">
        <v>319</v>
      </c>
      <c r="B288" s="7">
        <v>28.699999999999999</v>
      </c>
      <c r="C288" s="7">
        <v>0.10000000000000001</v>
      </c>
      <c r="D288" s="7">
        <v>2</v>
      </c>
      <c r="E288" s="7">
        <v>1</v>
      </c>
      <c r="F288" s="7">
        <v>497</v>
      </c>
      <c r="G288" s="7">
        <v>0.59999999999999998</v>
      </c>
    </row>
    <row r="289" ht="15.75">
      <c r="A289" s="7" t="s">
        <v>320</v>
      </c>
      <c r="B289" s="7">
        <v>28.800000000000001</v>
      </c>
      <c r="C289" s="7">
        <v>0.10000000000000001</v>
      </c>
      <c r="D289" s="7">
        <v>0</v>
      </c>
      <c r="E289" s="7">
        <v>4</v>
      </c>
      <c r="F289" s="7">
        <v>492</v>
      </c>
      <c r="G289" s="7">
        <v>-4.4000000000000004</v>
      </c>
    </row>
    <row r="290" ht="15.75">
      <c r="A290" s="7" t="s">
        <v>321</v>
      </c>
      <c r="B290" s="7">
        <v>28.899999999999999</v>
      </c>
      <c r="C290" s="7">
        <v>0.10000000000000001</v>
      </c>
      <c r="D290" s="7">
        <v>3</v>
      </c>
      <c r="E290" s="7">
        <v>1</v>
      </c>
      <c r="F290" s="7">
        <v>494</v>
      </c>
      <c r="G290" s="7">
        <v>1.7</v>
      </c>
    </row>
    <row r="291" ht="15.75">
      <c r="A291" s="7" t="s">
        <v>322</v>
      </c>
      <c r="B291" s="7">
        <v>29</v>
      </c>
      <c r="C291" s="7">
        <v>0.10000000000000001</v>
      </c>
      <c r="D291" s="7">
        <v>0</v>
      </c>
      <c r="E291" s="7">
        <v>6</v>
      </c>
      <c r="F291" s="7">
        <v>488</v>
      </c>
      <c r="G291" s="7">
        <v>-6</v>
      </c>
    </row>
    <row r="292" ht="15.75">
      <c r="A292" s="7" t="s">
        <v>323</v>
      </c>
      <c r="B292" s="7">
        <v>29.100000000000001</v>
      </c>
      <c r="C292" s="7">
        <v>0.10000000000000001</v>
      </c>
      <c r="D292" s="7">
        <v>3</v>
      </c>
      <c r="E292" s="7">
        <v>0</v>
      </c>
      <c r="F292" s="7">
        <v>491</v>
      </c>
      <c r="G292" s="7">
        <v>3.2000000000000002</v>
      </c>
    </row>
    <row r="293" ht="15.75">
      <c r="A293" s="7" t="s">
        <v>324</v>
      </c>
      <c r="B293" s="7">
        <v>29.199999999999999</v>
      </c>
      <c r="C293" s="7">
        <v>0.10000000000000001</v>
      </c>
      <c r="D293" s="7">
        <v>5</v>
      </c>
      <c r="E293" s="7">
        <v>0</v>
      </c>
      <c r="F293" s="7">
        <v>496</v>
      </c>
      <c r="G293" s="7">
        <v>4.2000000000000002</v>
      </c>
    </row>
    <row r="294" ht="15.75">
      <c r="A294" s="7" t="s">
        <v>325</v>
      </c>
      <c r="B294" s="7">
        <v>29.300000000000001</v>
      </c>
      <c r="C294" s="7">
        <v>0.10000000000000001</v>
      </c>
      <c r="D294" s="7">
        <v>0</v>
      </c>
      <c r="E294" s="7">
        <v>6</v>
      </c>
      <c r="F294" s="7">
        <v>490</v>
      </c>
      <c r="G294" s="7">
        <v>-6</v>
      </c>
    </row>
    <row r="295" ht="15.75">
      <c r="A295" s="7" t="s">
        <v>326</v>
      </c>
      <c r="B295" s="7">
        <v>29.399999999999999</v>
      </c>
      <c r="C295" s="7">
        <v>0.10000000000000001</v>
      </c>
      <c r="D295" s="7">
        <v>0</v>
      </c>
      <c r="E295" s="7">
        <v>4</v>
      </c>
      <c r="F295" s="7">
        <v>485</v>
      </c>
      <c r="G295" s="7">
        <v>-4.2999999999999998</v>
      </c>
    </row>
    <row r="296" ht="15.75">
      <c r="A296" s="7" t="s">
        <v>327</v>
      </c>
      <c r="B296" s="7">
        <v>29.5</v>
      </c>
      <c r="C296" s="7">
        <v>0.10000000000000001</v>
      </c>
      <c r="D296" s="7">
        <v>0</v>
      </c>
      <c r="E296" s="7">
        <v>3</v>
      </c>
      <c r="F296" s="7">
        <v>482</v>
      </c>
      <c r="G296" s="7">
        <v>-3.2999999999999998</v>
      </c>
    </row>
    <row r="297" ht="15.75">
      <c r="A297" s="7" t="s">
        <v>328</v>
      </c>
      <c r="B297" s="7">
        <v>29.600000000000001</v>
      </c>
      <c r="C297" s="7">
        <v>0.10000000000000001</v>
      </c>
      <c r="D297" s="7">
        <v>5</v>
      </c>
      <c r="E297" s="7">
        <v>0</v>
      </c>
      <c r="F297" s="7">
        <v>486</v>
      </c>
      <c r="G297" s="7">
        <v>4.4000000000000004</v>
      </c>
    </row>
    <row r="298" ht="15.75">
      <c r="A298" s="7" t="s">
        <v>329</v>
      </c>
      <c r="B298" s="7">
        <v>29.699999999999999</v>
      </c>
      <c r="C298" s="7">
        <v>0.10000000000000001</v>
      </c>
      <c r="D298" s="7">
        <v>4</v>
      </c>
      <c r="E298" s="7">
        <v>0</v>
      </c>
      <c r="F298" s="7">
        <v>491</v>
      </c>
      <c r="G298" s="7">
        <v>4.0999999999999996</v>
      </c>
    </row>
    <row r="299" ht="15.75">
      <c r="A299" s="7" t="s">
        <v>330</v>
      </c>
      <c r="B299" s="7">
        <v>29.800000000000001</v>
      </c>
      <c r="C299" s="7">
        <v>0.10000000000000001</v>
      </c>
      <c r="D299" s="7">
        <v>3</v>
      </c>
      <c r="E299" s="7">
        <v>0</v>
      </c>
      <c r="F299" s="7">
        <v>493</v>
      </c>
      <c r="G299" s="7">
        <v>2.6000000000000001</v>
      </c>
    </row>
    <row r="300" ht="15.75">
      <c r="A300" s="7" t="s">
        <v>331</v>
      </c>
      <c r="B300" s="7">
        <v>29.899999999999999</v>
      </c>
      <c r="C300" s="7">
        <v>0.10000000000000001</v>
      </c>
      <c r="D300" s="7">
        <v>2</v>
      </c>
      <c r="E300" s="7">
        <v>0</v>
      </c>
      <c r="F300" s="7">
        <v>495</v>
      </c>
      <c r="G300" s="7">
        <v>2.1000000000000001</v>
      </c>
    </row>
    <row r="301" ht="15.75">
      <c r="A301" s="7" t="s">
        <v>25</v>
      </c>
      <c r="B301" s="7">
        <v>30</v>
      </c>
      <c r="C301" s="7">
        <v>0.10000000000000001</v>
      </c>
      <c r="D301" s="7">
        <v>1</v>
      </c>
      <c r="E301" s="7">
        <v>1</v>
      </c>
      <c r="F301" s="7">
        <v>496</v>
      </c>
      <c r="G301" s="7">
        <v>0.40000000000000002</v>
      </c>
    </row>
    <row r="302" ht="15.75">
      <c r="A302" s="7" t="s">
        <v>332</v>
      </c>
      <c r="B302" s="7">
        <v>30.100000000000001</v>
      </c>
      <c r="C302" s="7">
        <v>0.10000000000000001</v>
      </c>
      <c r="D302" s="7">
        <v>0</v>
      </c>
      <c r="E302" s="7">
        <v>4</v>
      </c>
      <c r="F302" s="7">
        <v>492</v>
      </c>
      <c r="G302" s="7">
        <v>-4</v>
      </c>
    </row>
    <row r="303" ht="15.75">
      <c r="A303" s="7" t="s">
        <v>333</v>
      </c>
      <c r="B303" s="7">
        <v>30.199999999999999</v>
      </c>
      <c r="C303" s="7">
        <v>0.10000000000000001</v>
      </c>
      <c r="D303" s="7">
        <v>0</v>
      </c>
      <c r="E303" s="7">
        <v>6</v>
      </c>
      <c r="F303" s="7">
        <v>485</v>
      </c>
      <c r="G303" s="7">
        <v>-6.2999999999999998</v>
      </c>
    </row>
    <row r="304" ht="15.75">
      <c r="A304" s="7" t="s">
        <v>334</v>
      </c>
      <c r="B304" s="7">
        <v>30.300000000000001</v>
      </c>
      <c r="C304" s="7">
        <v>0.10000000000000001</v>
      </c>
      <c r="D304" s="7">
        <v>0</v>
      </c>
      <c r="E304" s="7">
        <v>6</v>
      </c>
      <c r="F304" s="7">
        <v>479</v>
      </c>
      <c r="G304" s="7">
        <v>-6.4000000000000004</v>
      </c>
    </row>
    <row r="305" ht="15.75">
      <c r="A305" s="7" t="s">
        <v>335</v>
      </c>
      <c r="B305" s="7">
        <v>30.399999999999999</v>
      </c>
      <c r="C305" s="7">
        <v>0.10000000000000001</v>
      </c>
      <c r="D305" s="7">
        <v>0</v>
      </c>
      <c r="E305" s="7">
        <v>6</v>
      </c>
      <c r="F305" s="7">
        <v>473</v>
      </c>
      <c r="G305" s="7">
        <v>-5.9000000000000004</v>
      </c>
    </row>
    <row r="306" ht="15.75">
      <c r="A306" s="7" t="s">
        <v>336</v>
      </c>
      <c r="B306" s="7">
        <v>30.5</v>
      </c>
      <c r="C306" s="7">
        <v>0.10000000000000001</v>
      </c>
      <c r="D306" s="7">
        <v>0</v>
      </c>
      <c r="E306" s="7">
        <v>6</v>
      </c>
      <c r="F306" s="7">
        <v>467</v>
      </c>
      <c r="G306" s="7">
        <v>-6.2999999999999998</v>
      </c>
    </row>
    <row r="307" ht="15.75">
      <c r="A307" s="7" t="s">
        <v>337</v>
      </c>
      <c r="B307" s="7">
        <v>30.600000000000001</v>
      </c>
      <c r="C307" s="7">
        <v>0.10000000000000001</v>
      </c>
      <c r="D307" s="7">
        <v>0</v>
      </c>
      <c r="E307" s="7">
        <v>5</v>
      </c>
      <c r="F307" s="7">
        <v>462</v>
      </c>
      <c r="G307" s="7">
        <v>-5.0999999999999996</v>
      </c>
    </row>
    <row r="308" ht="15.75">
      <c r="A308" s="7" t="s">
        <v>338</v>
      </c>
      <c r="B308" s="7">
        <v>30.699999999999999</v>
      </c>
      <c r="C308" s="7">
        <v>0.10000000000000001</v>
      </c>
      <c r="D308" s="7">
        <v>2</v>
      </c>
      <c r="E308" s="7">
        <v>0</v>
      </c>
      <c r="F308" s="7">
        <v>463</v>
      </c>
      <c r="G308" s="7">
        <v>1.3</v>
      </c>
    </row>
    <row r="309" ht="15.75">
      <c r="A309" s="7" t="s">
        <v>339</v>
      </c>
      <c r="B309" s="7">
        <v>30.800000000000001</v>
      </c>
      <c r="C309" s="7">
        <v>0.10000000000000001</v>
      </c>
      <c r="D309" s="7">
        <v>4</v>
      </c>
      <c r="E309" s="7">
        <v>0</v>
      </c>
      <c r="F309" s="7">
        <v>467</v>
      </c>
      <c r="G309" s="7">
        <v>4</v>
      </c>
    </row>
    <row r="310" ht="15.75">
      <c r="A310" s="7" t="s">
        <v>340</v>
      </c>
      <c r="B310" s="7">
        <v>30.899999999999999</v>
      </c>
      <c r="C310" s="7">
        <v>0.10000000000000001</v>
      </c>
      <c r="D310" s="7">
        <v>9</v>
      </c>
      <c r="E310" s="7">
        <v>0</v>
      </c>
      <c r="F310" s="7">
        <v>476</v>
      </c>
      <c r="G310" s="7">
        <v>8.9000000000000004</v>
      </c>
    </row>
    <row r="311" ht="15.75">
      <c r="A311" s="7" t="s">
        <v>341</v>
      </c>
      <c r="B311" s="7">
        <v>31</v>
      </c>
      <c r="C311" s="7">
        <v>0.10000000000000001</v>
      </c>
      <c r="D311" s="7">
        <v>5</v>
      </c>
      <c r="E311" s="7">
        <v>0</v>
      </c>
      <c r="F311" s="7">
        <v>481</v>
      </c>
      <c r="G311" s="7">
        <v>5.4000000000000004</v>
      </c>
    </row>
    <row r="312" ht="15.75">
      <c r="A312" s="7" t="s">
        <v>342</v>
      </c>
      <c r="B312" s="7">
        <v>31.100000000000001</v>
      </c>
      <c r="C312" s="7">
        <v>0.10000000000000001</v>
      </c>
      <c r="D312" s="7">
        <v>2</v>
      </c>
      <c r="E312" s="7">
        <v>1</v>
      </c>
      <c r="F312" s="7">
        <v>482</v>
      </c>
      <c r="G312" s="7">
        <v>0.69999999999999996</v>
      </c>
    </row>
    <row r="313" ht="15.75">
      <c r="A313" s="7" t="s">
        <v>343</v>
      </c>
      <c r="B313" s="7">
        <v>31.199999999999999</v>
      </c>
      <c r="C313" s="7">
        <v>0.10000000000000001</v>
      </c>
      <c r="D313" s="7">
        <v>0</v>
      </c>
      <c r="E313" s="7">
        <v>4</v>
      </c>
      <c r="F313" s="7">
        <v>478</v>
      </c>
      <c r="G313" s="7">
        <v>-3.7999999999999998</v>
      </c>
    </row>
    <row r="314" ht="15.75">
      <c r="A314" s="7" t="s">
        <v>344</v>
      </c>
      <c r="B314" s="7">
        <v>31.300000000000001</v>
      </c>
      <c r="C314" s="7">
        <v>0.10000000000000001</v>
      </c>
      <c r="D314" s="7">
        <v>0</v>
      </c>
      <c r="E314" s="7">
        <v>4</v>
      </c>
      <c r="F314" s="7">
        <v>474</v>
      </c>
      <c r="G314" s="7">
        <v>-3.7999999999999998</v>
      </c>
    </row>
    <row r="315" ht="15.75">
      <c r="A315" s="7" t="s">
        <v>345</v>
      </c>
      <c r="B315" s="7">
        <v>31.399999999999999</v>
      </c>
      <c r="C315" s="7">
        <v>0.10000000000000001</v>
      </c>
      <c r="D315" s="7">
        <v>0</v>
      </c>
      <c r="E315" s="7">
        <v>2</v>
      </c>
      <c r="F315" s="7">
        <v>472</v>
      </c>
      <c r="G315" s="7">
        <v>-2.3999999999999999</v>
      </c>
    </row>
    <row r="316" ht="15.75">
      <c r="A316" s="7" t="s">
        <v>346</v>
      </c>
      <c r="B316" s="7">
        <v>31.5</v>
      </c>
      <c r="C316" s="7">
        <v>0.10000000000000001</v>
      </c>
      <c r="D316" s="7">
        <v>1</v>
      </c>
      <c r="E316" s="7">
        <v>0</v>
      </c>
      <c r="F316" s="7">
        <v>472</v>
      </c>
      <c r="G316" s="7">
        <v>0.10000000000000001</v>
      </c>
    </row>
    <row r="317" ht="15.75">
      <c r="A317" s="7" t="s">
        <v>347</v>
      </c>
      <c r="B317" s="7">
        <v>31.600000000000001</v>
      </c>
      <c r="C317" s="7">
        <v>0.10000000000000001</v>
      </c>
      <c r="D317" s="7">
        <v>3</v>
      </c>
      <c r="E317" s="7">
        <v>0</v>
      </c>
      <c r="F317" s="7">
        <v>475</v>
      </c>
      <c r="G317" s="7">
        <v>2.8999999999999999</v>
      </c>
    </row>
    <row r="318" ht="15.75">
      <c r="A318" s="7" t="s">
        <v>348</v>
      </c>
      <c r="B318" s="7">
        <v>31.699999999999999</v>
      </c>
      <c r="C318" s="7">
        <v>0.10000000000000001</v>
      </c>
      <c r="D318" s="7">
        <v>6</v>
      </c>
      <c r="E318" s="7">
        <v>0</v>
      </c>
      <c r="F318" s="7">
        <v>481</v>
      </c>
      <c r="G318" s="7">
        <v>6</v>
      </c>
    </row>
    <row r="319" ht="15.75">
      <c r="A319" s="7" t="s">
        <v>349</v>
      </c>
      <c r="B319" s="7">
        <v>31.800000000000001</v>
      </c>
      <c r="C319" s="7">
        <v>0.10000000000000001</v>
      </c>
      <c r="D319" s="7">
        <v>9</v>
      </c>
      <c r="E319" s="7">
        <v>0</v>
      </c>
      <c r="F319" s="7">
        <v>490</v>
      </c>
      <c r="G319" s="7">
        <v>9.0999999999999996</v>
      </c>
    </row>
    <row r="320" ht="15.75">
      <c r="A320" s="7" t="s">
        <v>350</v>
      </c>
      <c r="B320" s="7">
        <v>31.899999999999999</v>
      </c>
      <c r="C320" s="7">
        <v>0.10000000000000001</v>
      </c>
      <c r="D320" s="7">
        <v>6</v>
      </c>
      <c r="E320" s="7">
        <v>0</v>
      </c>
      <c r="F320" s="7">
        <v>496</v>
      </c>
      <c r="G320" s="7">
        <v>6.2000000000000002</v>
      </c>
    </row>
    <row r="321" ht="15.75">
      <c r="A321" s="7" t="s">
        <v>351</v>
      </c>
      <c r="B321" s="7">
        <v>32</v>
      </c>
      <c r="C321" s="7">
        <v>0.10000000000000001</v>
      </c>
      <c r="D321" s="7">
        <v>4</v>
      </c>
      <c r="E321" s="7">
        <v>0</v>
      </c>
      <c r="F321" s="7">
        <v>500</v>
      </c>
      <c r="G321" s="7">
        <v>3.8999999999999999</v>
      </c>
    </row>
    <row r="322" ht="15.75">
      <c r="A322" s="7" t="s">
        <v>352</v>
      </c>
      <c r="B322" s="7">
        <v>32.100000000000001</v>
      </c>
      <c r="C322" s="7">
        <v>0.10000000000000001</v>
      </c>
      <c r="D322" s="7">
        <v>4</v>
      </c>
      <c r="E322" s="7">
        <v>0</v>
      </c>
      <c r="F322" s="7">
        <v>504</v>
      </c>
      <c r="G322" s="7">
        <v>3.6000000000000001</v>
      </c>
    </row>
    <row r="323" ht="15.75">
      <c r="A323" s="7" t="s">
        <v>353</v>
      </c>
      <c r="B323" s="7">
        <v>32.200000000000003</v>
      </c>
      <c r="C323" s="7">
        <v>0.10000000000000001</v>
      </c>
      <c r="D323" s="7">
        <v>3</v>
      </c>
      <c r="E323" s="7">
        <v>0</v>
      </c>
      <c r="F323" s="7">
        <v>507</v>
      </c>
      <c r="G323" s="7">
        <v>3.3999999999999999</v>
      </c>
    </row>
    <row r="324" ht="15.75">
      <c r="A324" s="7" t="s">
        <v>354</v>
      </c>
      <c r="B324" s="7">
        <v>32.299999999999997</v>
      </c>
      <c r="C324" s="7">
        <v>0.10000000000000001</v>
      </c>
      <c r="D324" s="7">
        <v>3</v>
      </c>
      <c r="E324" s="7">
        <v>0</v>
      </c>
      <c r="F324" s="7">
        <v>510</v>
      </c>
      <c r="G324" s="7">
        <v>3</v>
      </c>
    </row>
    <row r="325" ht="15.75">
      <c r="A325" s="7" t="s">
        <v>355</v>
      </c>
      <c r="B325" s="7">
        <v>32.399999999999999</v>
      </c>
      <c r="C325" s="7">
        <v>0.10000000000000001</v>
      </c>
      <c r="D325" s="7">
        <v>4</v>
      </c>
      <c r="E325" s="7">
        <v>0</v>
      </c>
      <c r="F325" s="7">
        <v>514</v>
      </c>
      <c r="G325" s="7">
        <v>4.0999999999999996</v>
      </c>
    </row>
    <row r="326" ht="15.75">
      <c r="A326" s="7" t="s">
        <v>356</v>
      </c>
      <c r="B326" s="7">
        <v>32.5</v>
      </c>
      <c r="C326" s="7">
        <v>0.10000000000000001</v>
      </c>
      <c r="D326" s="7">
        <v>3</v>
      </c>
      <c r="E326" s="7">
        <v>0</v>
      </c>
      <c r="F326" s="7">
        <v>517</v>
      </c>
      <c r="G326" s="7">
        <v>3.1000000000000001</v>
      </c>
    </row>
    <row r="327" ht="15.75">
      <c r="A327" s="7" t="s">
        <v>357</v>
      </c>
      <c r="B327" s="7">
        <v>32.600000000000001</v>
      </c>
      <c r="C327" s="7">
        <v>0.10000000000000001</v>
      </c>
      <c r="D327" s="7">
        <v>1</v>
      </c>
      <c r="E327" s="7">
        <v>0</v>
      </c>
      <c r="F327" s="7">
        <v>519</v>
      </c>
      <c r="G327" s="7">
        <v>1.3999999999999999</v>
      </c>
    </row>
    <row r="328" ht="15.75">
      <c r="A328" s="7" t="s">
        <v>358</v>
      </c>
      <c r="B328" s="7">
        <v>32.700000000000003</v>
      </c>
      <c r="C328" s="7">
        <v>0.10000000000000001</v>
      </c>
      <c r="D328" s="7">
        <v>0</v>
      </c>
      <c r="E328" s="7">
        <v>3</v>
      </c>
      <c r="F328" s="7">
        <v>516</v>
      </c>
      <c r="G328" s="7">
        <v>-3</v>
      </c>
    </row>
    <row r="329" ht="15.75">
      <c r="A329" s="7" t="s">
        <v>359</v>
      </c>
      <c r="B329" s="7">
        <v>32.799999999999997</v>
      </c>
      <c r="C329" s="7">
        <v>0.10000000000000001</v>
      </c>
      <c r="D329" s="7">
        <v>0</v>
      </c>
      <c r="E329" s="7">
        <v>8</v>
      </c>
      <c r="F329" s="7">
        <v>507</v>
      </c>
      <c r="G329" s="7">
        <v>-8.4000000000000004</v>
      </c>
    </row>
    <row r="330" ht="15.75">
      <c r="A330" s="7" t="s">
        <v>360</v>
      </c>
      <c r="B330" s="7">
        <v>32.899999999999999</v>
      </c>
      <c r="C330" s="7">
        <v>0.10000000000000001</v>
      </c>
      <c r="D330" s="7">
        <v>0</v>
      </c>
      <c r="E330" s="7">
        <v>8</v>
      </c>
      <c r="F330" s="7">
        <v>499</v>
      </c>
      <c r="G330" s="7">
        <v>-8.1999999999999993</v>
      </c>
    </row>
    <row r="331" ht="15.75">
      <c r="A331" s="7" t="s">
        <v>361</v>
      </c>
      <c r="B331" s="7">
        <v>33</v>
      </c>
      <c r="C331" s="7">
        <v>0.10000000000000001</v>
      </c>
      <c r="D331" s="7">
        <v>0</v>
      </c>
      <c r="E331" s="7">
        <v>7</v>
      </c>
      <c r="F331" s="7">
        <v>492</v>
      </c>
      <c r="G331" s="7">
        <v>-6.9000000000000004</v>
      </c>
    </row>
    <row r="332" ht="15.75">
      <c r="A332" s="7" t="s">
        <v>362</v>
      </c>
      <c r="B332" s="7">
        <v>33.100000000000001</v>
      </c>
      <c r="C332" s="7">
        <v>0.10000000000000001</v>
      </c>
      <c r="D332" s="7">
        <v>0</v>
      </c>
      <c r="E332" s="7">
        <v>7</v>
      </c>
      <c r="F332" s="7">
        <v>485</v>
      </c>
      <c r="G332" s="7">
        <v>-6.7000000000000002</v>
      </c>
    </row>
    <row r="333" ht="15.75">
      <c r="A333" s="7" t="s">
        <v>363</v>
      </c>
      <c r="B333" s="7">
        <v>33.200000000000003</v>
      </c>
      <c r="C333" s="7">
        <v>0.10000000000000001</v>
      </c>
      <c r="D333" s="7">
        <v>0</v>
      </c>
      <c r="E333" s="7">
        <v>6</v>
      </c>
      <c r="F333" s="7">
        <v>479</v>
      </c>
      <c r="G333" s="7">
        <v>-6.0999999999999996</v>
      </c>
    </row>
    <row r="334" ht="15.75">
      <c r="A334" s="7" t="s">
        <v>364</v>
      </c>
      <c r="B334" s="7">
        <v>33.299999999999997</v>
      </c>
      <c r="C334" s="7">
        <v>0.10000000000000001</v>
      </c>
      <c r="D334" s="7">
        <v>0</v>
      </c>
      <c r="E334" s="7">
        <v>5</v>
      </c>
      <c r="F334" s="7">
        <v>474</v>
      </c>
      <c r="G334" s="7">
        <v>-5</v>
      </c>
    </row>
    <row r="335" ht="15.75">
      <c r="A335" s="7" t="s">
        <v>365</v>
      </c>
      <c r="B335" s="7">
        <v>33.399999999999999</v>
      </c>
      <c r="C335" s="7">
        <v>0.10000000000000001</v>
      </c>
      <c r="D335" s="7">
        <v>0</v>
      </c>
      <c r="E335" s="7">
        <v>4</v>
      </c>
      <c r="F335" s="7">
        <v>471</v>
      </c>
      <c r="G335" s="7">
        <v>-3.5</v>
      </c>
    </row>
    <row r="336" ht="15.75">
      <c r="A336" s="7" t="s">
        <v>366</v>
      </c>
      <c r="B336" s="7">
        <v>33.5</v>
      </c>
      <c r="C336" s="7">
        <v>0.10000000000000001</v>
      </c>
      <c r="D336" s="7">
        <v>1</v>
      </c>
      <c r="E336" s="7">
        <v>1</v>
      </c>
      <c r="F336" s="7">
        <v>470</v>
      </c>
      <c r="G336" s="7">
        <v>-0.5</v>
      </c>
    </row>
    <row r="337" ht="15.75">
      <c r="A337" s="7" t="s">
        <v>367</v>
      </c>
      <c r="B337" s="7">
        <v>33.600000000000001</v>
      </c>
      <c r="C337" s="7">
        <v>0.10000000000000001</v>
      </c>
      <c r="D337" s="7">
        <v>5</v>
      </c>
      <c r="E337" s="7">
        <v>0</v>
      </c>
      <c r="F337" s="7">
        <v>475</v>
      </c>
      <c r="G337" s="7">
        <v>5</v>
      </c>
    </row>
    <row r="338" ht="15.75">
      <c r="A338" s="7" t="s">
        <v>368</v>
      </c>
      <c r="B338" s="7">
        <v>33.700000000000003</v>
      </c>
      <c r="C338" s="7">
        <v>0.10000000000000001</v>
      </c>
      <c r="D338" s="7">
        <v>8</v>
      </c>
      <c r="E338" s="7">
        <v>0</v>
      </c>
      <c r="F338" s="7">
        <v>483</v>
      </c>
      <c r="G338" s="7">
        <v>8.0999999999999996</v>
      </c>
    </row>
    <row r="339" ht="15.75">
      <c r="A339" s="7" t="s">
        <v>369</v>
      </c>
      <c r="B339" s="7">
        <v>33.799999999999997</v>
      </c>
      <c r="C339" s="7">
        <v>0.10000000000000001</v>
      </c>
      <c r="D339" s="7">
        <v>10</v>
      </c>
      <c r="E339" s="7">
        <v>0</v>
      </c>
      <c r="F339" s="7">
        <v>493</v>
      </c>
      <c r="G339" s="7">
        <v>10.1</v>
      </c>
    </row>
    <row r="340" ht="15.75">
      <c r="A340" s="7" t="s">
        <v>370</v>
      </c>
      <c r="B340" s="7">
        <v>33.899999999999999</v>
      </c>
      <c r="C340" s="7">
        <v>0.10000000000000001</v>
      </c>
      <c r="D340" s="7">
        <v>5</v>
      </c>
      <c r="E340" s="7">
        <v>0</v>
      </c>
      <c r="F340" s="7">
        <v>499</v>
      </c>
      <c r="G340" s="7">
        <v>5.5</v>
      </c>
    </row>
    <row r="341" ht="15.75">
      <c r="A341" s="7" t="s">
        <v>371</v>
      </c>
      <c r="B341" s="7">
        <v>34</v>
      </c>
      <c r="C341" s="7">
        <v>0.10000000000000001</v>
      </c>
      <c r="D341" s="7">
        <v>1</v>
      </c>
      <c r="E341" s="7">
        <v>5</v>
      </c>
      <c r="F341" s="7">
        <v>494</v>
      </c>
      <c r="G341" s="7">
        <v>-4.5</v>
      </c>
    </row>
    <row r="342" ht="15.75">
      <c r="A342" s="7" t="s">
        <v>372</v>
      </c>
      <c r="B342" s="7">
        <v>34.100000000000001</v>
      </c>
      <c r="C342" s="7">
        <v>0.10000000000000001</v>
      </c>
      <c r="D342" s="7">
        <v>0</v>
      </c>
      <c r="E342" s="7">
        <v>9</v>
      </c>
      <c r="F342" s="7">
        <v>485</v>
      </c>
      <c r="G342" s="7">
        <v>-9.1999999999999993</v>
      </c>
    </row>
    <row r="343" ht="15.75">
      <c r="A343" s="7" t="s">
        <v>373</v>
      </c>
      <c r="B343" s="7">
        <v>34.200000000000003</v>
      </c>
      <c r="C343" s="7">
        <v>0.10000000000000001</v>
      </c>
      <c r="D343" s="7">
        <v>2</v>
      </c>
      <c r="E343" s="7">
        <v>6</v>
      </c>
      <c r="F343" s="7">
        <v>481</v>
      </c>
      <c r="G343" s="7">
        <v>-4.2999999999999998</v>
      </c>
    </row>
    <row r="344" ht="15.75">
      <c r="A344" s="7" t="s">
        <v>374</v>
      </c>
      <c r="B344" s="7">
        <v>34.299999999999997</v>
      </c>
      <c r="C344" s="7">
        <v>0.10000000000000001</v>
      </c>
      <c r="D344" s="7">
        <v>3</v>
      </c>
      <c r="E344" s="7">
        <v>2</v>
      </c>
      <c r="F344" s="7">
        <v>482</v>
      </c>
      <c r="G344" s="7">
        <v>1.6000000000000001</v>
      </c>
    </row>
    <row r="345" ht="15.75">
      <c r="A345" s="7" t="s">
        <v>375</v>
      </c>
      <c r="B345" s="7">
        <v>34.399999999999999</v>
      </c>
      <c r="C345" s="7">
        <v>0.10000000000000001</v>
      </c>
      <c r="D345" s="7">
        <v>1</v>
      </c>
      <c r="E345" s="7">
        <v>1</v>
      </c>
      <c r="F345" s="7">
        <v>483</v>
      </c>
      <c r="G345" s="7">
        <v>0.29999999999999999</v>
      </c>
    </row>
    <row r="346" ht="15.75">
      <c r="A346" s="7" t="s">
        <v>376</v>
      </c>
      <c r="B346" s="7">
        <v>34.5</v>
      </c>
      <c r="C346" s="7">
        <v>0.10000000000000001</v>
      </c>
      <c r="D346" s="7">
        <v>0</v>
      </c>
      <c r="E346" s="7">
        <v>3</v>
      </c>
      <c r="F346" s="7">
        <v>480</v>
      </c>
      <c r="G346" s="7">
        <v>-2.5</v>
      </c>
    </row>
    <row r="347" ht="15.75">
      <c r="A347" s="7" t="s">
        <v>377</v>
      </c>
      <c r="B347" s="7">
        <v>34.600000000000001</v>
      </c>
      <c r="C347" s="7">
        <v>0.10000000000000001</v>
      </c>
      <c r="D347" s="7">
        <v>1</v>
      </c>
      <c r="E347" s="7">
        <v>0</v>
      </c>
      <c r="F347" s="7">
        <v>481</v>
      </c>
      <c r="G347" s="7">
        <v>1.2</v>
      </c>
    </row>
    <row r="348" ht="15.75">
      <c r="A348" s="7" t="s">
        <v>378</v>
      </c>
      <c r="B348" s="7">
        <v>34.700000000000003</v>
      </c>
      <c r="C348" s="7">
        <v>0.10000000000000001</v>
      </c>
      <c r="D348" s="7">
        <v>0</v>
      </c>
      <c r="E348" s="7">
        <v>2</v>
      </c>
      <c r="F348" s="7">
        <v>480</v>
      </c>
      <c r="G348" s="7">
        <v>-1.8</v>
      </c>
    </row>
    <row r="349" ht="15.75">
      <c r="A349" s="7" t="s">
        <v>379</v>
      </c>
      <c r="B349" s="7">
        <v>34.799999999999997</v>
      </c>
      <c r="C349" s="7">
        <v>0.10000000000000001</v>
      </c>
      <c r="D349" s="7">
        <v>2</v>
      </c>
      <c r="E349" s="7">
        <v>1</v>
      </c>
      <c r="F349" s="7">
        <v>481</v>
      </c>
      <c r="G349" s="7">
        <v>1.2</v>
      </c>
    </row>
    <row r="350" ht="15.75">
      <c r="A350" s="7" t="s">
        <v>380</v>
      </c>
      <c r="B350" s="7">
        <v>34.899999999999999</v>
      </c>
      <c r="C350" s="7">
        <v>0.10000000000000001</v>
      </c>
      <c r="D350" s="7">
        <v>4</v>
      </c>
      <c r="E350" s="7">
        <v>0</v>
      </c>
      <c r="F350" s="7">
        <v>485</v>
      </c>
      <c r="G350" s="7">
        <v>4.5</v>
      </c>
    </row>
    <row r="351" ht="15.75">
      <c r="A351" s="7" t="s">
        <v>26</v>
      </c>
      <c r="B351" s="7">
        <v>35</v>
      </c>
      <c r="C351" s="7">
        <v>0.10000000000000001</v>
      </c>
      <c r="D351" s="7">
        <v>4</v>
      </c>
      <c r="E351" s="7">
        <v>0</v>
      </c>
      <c r="F351" s="7">
        <v>490</v>
      </c>
      <c r="G351" s="7">
        <v>4.4000000000000004</v>
      </c>
    </row>
    <row r="352" ht="15.75">
      <c r="A352" s="7" t="s">
        <v>381</v>
      </c>
      <c r="B352" s="7">
        <v>35.100000000000001</v>
      </c>
      <c r="C352" s="7">
        <v>0.10000000000000001</v>
      </c>
      <c r="D352" s="7">
        <v>3</v>
      </c>
      <c r="E352" s="7">
        <v>0</v>
      </c>
      <c r="F352" s="7">
        <v>492</v>
      </c>
      <c r="G352" s="7">
        <v>2.7999999999999998</v>
      </c>
    </row>
    <row r="353" ht="15.75">
      <c r="A353" s="7" t="s">
        <v>382</v>
      </c>
      <c r="B353" s="7">
        <v>35.200000000000003</v>
      </c>
      <c r="C353" s="7">
        <v>0.10000000000000001</v>
      </c>
      <c r="D353" s="7">
        <v>7</v>
      </c>
      <c r="E353" s="7">
        <v>0</v>
      </c>
      <c r="F353" s="7">
        <v>500</v>
      </c>
      <c r="G353" s="7">
        <v>7.2999999999999998</v>
      </c>
    </row>
    <row r="354" ht="15.75">
      <c r="A354" s="7" t="s">
        <v>383</v>
      </c>
      <c r="B354" s="7">
        <v>35.299999999999997</v>
      </c>
      <c r="C354" s="7">
        <v>0.10000000000000001</v>
      </c>
      <c r="D354" s="7">
        <v>11</v>
      </c>
      <c r="E354" s="7">
        <v>0</v>
      </c>
      <c r="F354" s="7">
        <v>511</v>
      </c>
      <c r="G354" s="7">
        <v>10.800000000000001</v>
      </c>
    </row>
    <row r="355" ht="15.75">
      <c r="A355" s="7" t="s">
        <v>384</v>
      </c>
      <c r="B355" s="7">
        <v>35.399999999999999</v>
      </c>
      <c r="C355" s="7">
        <v>0.10000000000000001</v>
      </c>
      <c r="D355" s="7">
        <v>6</v>
      </c>
      <c r="E355" s="7">
        <v>1</v>
      </c>
      <c r="F355" s="7">
        <v>516</v>
      </c>
      <c r="G355" s="7">
        <v>5.4000000000000004</v>
      </c>
    </row>
    <row r="356" ht="15.75">
      <c r="A356" s="7" t="s">
        <v>385</v>
      </c>
      <c r="B356" s="7">
        <v>35.5</v>
      </c>
      <c r="C356" s="7">
        <v>0.10000000000000001</v>
      </c>
      <c r="D356" s="7">
        <v>0</v>
      </c>
      <c r="E356" s="7">
        <v>2</v>
      </c>
      <c r="F356" s="7">
        <v>514</v>
      </c>
      <c r="G356" s="7">
        <v>-2.1000000000000001</v>
      </c>
    </row>
    <row r="357" ht="15.75">
      <c r="A357" s="7" t="s">
        <v>386</v>
      </c>
      <c r="B357" s="7">
        <v>35.600000000000001</v>
      </c>
      <c r="C357" s="7">
        <v>0.10000000000000001</v>
      </c>
      <c r="D357" s="7">
        <v>0</v>
      </c>
      <c r="E357" s="7">
        <v>8</v>
      </c>
      <c r="F357" s="7">
        <v>505</v>
      </c>
      <c r="G357" s="7">
        <v>-8.4000000000000004</v>
      </c>
    </row>
    <row r="358" ht="15.75">
      <c r="A358" s="7" t="s">
        <v>387</v>
      </c>
      <c r="B358" s="7">
        <v>35.700000000000003</v>
      </c>
      <c r="C358" s="7">
        <v>0.10000000000000001</v>
      </c>
      <c r="D358" s="7">
        <v>0</v>
      </c>
      <c r="E358" s="7">
        <v>6</v>
      </c>
      <c r="F358" s="7">
        <v>500</v>
      </c>
      <c r="G358" s="7">
        <v>-5.7999999999999998</v>
      </c>
    </row>
    <row r="359" ht="15.75">
      <c r="A359" s="7" t="s">
        <v>388</v>
      </c>
      <c r="B359" s="7">
        <v>35.799999999999997</v>
      </c>
      <c r="C359" s="7">
        <v>0.10000000000000001</v>
      </c>
      <c r="D359" s="7">
        <v>2</v>
      </c>
      <c r="E359" s="7">
        <v>0</v>
      </c>
      <c r="F359" s="7">
        <v>501</v>
      </c>
      <c r="G359" s="7">
        <v>1.5</v>
      </c>
    </row>
    <row r="360" ht="15.75">
      <c r="A360" s="7" t="s">
        <v>389</v>
      </c>
      <c r="B360" s="7">
        <v>35.899999999999999</v>
      </c>
      <c r="C360" s="7">
        <v>0.10000000000000001</v>
      </c>
      <c r="D360" s="7">
        <v>1</v>
      </c>
      <c r="E360" s="7">
        <v>2</v>
      </c>
      <c r="F360" s="7">
        <v>500</v>
      </c>
      <c r="G360" s="7">
        <v>-1.6000000000000001</v>
      </c>
    </row>
    <row r="361" ht="15.75">
      <c r="A361" s="7" t="s">
        <v>390</v>
      </c>
      <c r="B361" s="7">
        <v>36</v>
      </c>
      <c r="C361" s="7">
        <v>0.10000000000000001</v>
      </c>
      <c r="D361" s="7">
        <v>1</v>
      </c>
      <c r="E361" s="7">
        <v>4</v>
      </c>
      <c r="F361" s="7">
        <v>496</v>
      </c>
      <c r="G361" s="7">
        <v>-3.2000000000000002</v>
      </c>
    </row>
    <row r="362" ht="15.75">
      <c r="A362" s="7" t="s">
        <v>391</v>
      </c>
      <c r="B362" s="7">
        <v>36.100000000000001</v>
      </c>
      <c r="C362" s="7">
        <v>0.10000000000000001</v>
      </c>
      <c r="D362" s="7">
        <v>1</v>
      </c>
      <c r="E362" s="7">
        <v>1</v>
      </c>
      <c r="F362" s="7">
        <v>496</v>
      </c>
      <c r="G362" s="7">
        <v>-0.10000000000000001</v>
      </c>
    </row>
    <row r="363" ht="15.75">
      <c r="A363" s="7" t="s">
        <v>392</v>
      </c>
      <c r="B363" s="7">
        <v>36.200000000000003</v>
      </c>
      <c r="C363" s="7">
        <v>0.10000000000000001</v>
      </c>
      <c r="D363" s="7">
        <v>5</v>
      </c>
      <c r="E363" s="7">
        <v>0</v>
      </c>
      <c r="F363" s="7">
        <v>501</v>
      </c>
      <c r="G363" s="7">
        <v>5</v>
      </c>
    </row>
    <row r="364" ht="15.75">
      <c r="A364" s="7" t="s">
        <v>393</v>
      </c>
      <c r="B364" s="7">
        <v>36.299999999999997</v>
      </c>
      <c r="C364" s="7">
        <v>0.10000000000000001</v>
      </c>
      <c r="D364" s="7">
        <v>1</v>
      </c>
      <c r="E364" s="7">
        <v>1</v>
      </c>
      <c r="F364" s="7">
        <v>500</v>
      </c>
      <c r="G364" s="7">
        <v>-0.90000000000000002</v>
      </c>
    </row>
    <row r="365" ht="15.75">
      <c r="A365" s="7" t="s">
        <v>394</v>
      </c>
      <c r="B365" s="7">
        <v>36.399999999999999</v>
      </c>
      <c r="C365" s="7">
        <v>0.10000000000000001</v>
      </c>
      <c r="D365" s="7">
        <v>0</v>
      </c>
      <c r="E365" s="7">
        <v>1</v>
      </c>
      <c r="F365" s="7">
        <v>499</v>
      </c>
      <c r="G365" s="7">
        <v>-1.5</v>
      </c>
    </row>
    <row r="366" ht="15.75">
      <c r="A366" s="7" t="s">
        <v>395</v>
      </c>
      <c r="B366" s="7">
        <v>36.5</v>
      </c>
      <c r="C366" s="7">
        <v>0.10000000000000001</v>
      </c>
      <c r="D366" s="7">
        <v>0</v>
      </c>
      <c r="E366" s="7">
        <v>3</v>
      </c>
      <c r="F366" s="7">
        <v>496</v>
      </c>
      <c r="G366" s="7">
        <v>-3.1000000000000001</v>
      </c>
    </row>
    <row r="367" ht="15.75">
      <c r="A367" s="7" t="s">
        <v>396</v>
      </c>
      <c r="B367" s="7">
        <v>36.600000000000001</v>
      </c>
      <c r="C367" s="7">
        <v>0.10000000000000001</v>
      </c>
      <c r="D367" s="7">
        <v>1</v>
      </c>
      <c r="E367" s="7">
        <v>1</v>
      </c>
      <c r="F367" s="7">
        <v>496</v>
      </c>
      <c r="G367" s="7">
        <v>0.59999999999999998</v>
      </c>
    </row>
    <row r="368" ht="15.75">
      <c r="A368" s="7" t="s">
        <v>397</v>
      </c>
      <c r="B368" s="7">
        <v>36.700000000000003</v>
      </c>
      <c r="C368" s="7">
        <v>0.10000000000000001</v>
      </c>
      <c r="D368" s="7">
        <v>2</v>
      </c>
      <c r="E368" s="7">
        <v>0</v>
      </c>
      <c r="F368" s="7">
        <v>498</v>
      </c>
      <c r="G368" s="7">
        <v>1.7</v>
      </c>
    </row>
    <row r="369" ht="15.75">
      <c r="A369" s="7" t="s">
        <v>398</v>
      </c>
      <c r="B369" s="7">
        <v>36.799999999999997</v>
      </c>
      <c r="C369" s="7">
        <v>0.10000000000000001</v>
      </c>
      <c r="D369" s="7">
        <v>6</v>
      </c>
      <c r="E369" s="7">
        <v>0</v>
      </c>
      <c r="F369" s="7">
        <v>504</v>
      </c>
      <c r="G369" s="7">
        <v>5.5999999999999996</v>
      </c>
    </row>
    <row r="370" ht="15.75">
      <c r="A370" s="7" t="s">
        <v>399</v>
      </c>
      <c r="B370" s="7">
        <v>36.899999999999999</v>
      </c>
      <c r="C370" s="7">
        <v>0.10000000000000001</v>
      </c>
      <c r="D370" s="7">
        <v>1</v>
      </c>
      <c r="E370" s="7">
        <v>2</v>
      </c>
      <c r="F370" s="7">
        <v>502</v>
      </c>
      <c r="G370" s="7">
        <v>-1.2</v>
      </c>
    </row>
    <row r="371" ht="15.75">
      <c r="A371" s="7" t="s">
        <v>400</v>
      </c>
      <c r="B371" s="7">
        <v>37</v>
      </c>
      <c r="C371" s="7">
        <v>0.10000000000000001</v>
      </c>
      <c r="D371" s="7">
        <v>2</v>
      </c>
      <c r="E371" s="7">
        <v>0</v>
      </c>
      <c r="F371" s="7">
        <v>504</v>
      </c>
      <c r="G371" s="7">
        <v>1.3</v>
      </c>
    </row>
    <row r="372" ht="15.75">
      <c r="A372" s="7" t="s">
        <v>401</v>
      </c>
      <c r="B372" s="7">
        <v>37.100000000000001</v>
      </c>
      <c r="C372" s="7">
        <v>0.10000000000000001</v>
      </c>
      <c r="D372" s="7">
        <v>0</v>
      </c>
      <c r="E372" s="7">
        <v>6</v>
      </c>
      <c r="F372" s="7">
        <v>497</v>
      </c>
      <c r="G372" s="7">
        <v>-6.4000000000000004</v>
      </c>
    </row>
    <row r="373" ht="15.75">
      <c r="A373" s="7" t="s">
        <v>402</v>
      </c>
      <c r="B373" s="7">
        <v>37.200000000000003</v>
      </c>
      <c r="C373" s="7">
        <v>0.10000000000000001</v>
      </c>
      <c r="D373" s="7">
        <v>1</v>
      </c>
      <c r="E373" s="7">
        <v>5</v>
      </c>
      <c r="F373" s="7">
        <v>493</v>
      </c>
      <c r="G373" s="7">
        <v>-4.5999999999999996</v>
      </c>
    </row>
    <row r="374" ht="15.75">
      <c r="A374" s="7" t="s">
        <v>403</v>
      </c>
      <c r="B374" s="7">
        <v>37.299999999999997</v>
      </c>
      <c r="C374" s="7">
        <v>0.10000000000000001</v>
      </c>
      <c r="D374" s="7">
        <v>4</v>
      </c>
      <c r="E374" s="7">
        <v>0</v>
      </c>
      <c r="F374" s="7">
        <v>497</v>
      </c>
      <c r="G374" s="7">
        <v>3.8999999999999999</v>
      </c>
    </row>
    <row r="375" ht="15.75">
      <c r="A375" s="7" t="s">
        <v>404</v>
      </c>
      <c r="B375" s="7">
        <v>37.399999999999999</v>
      </c>
      <c r="C375" s="7">
        <v>0.10000000000000001</v>
      </c>
      <c r="D375" s="7">
        <v>4</v>
      </c>
      <c r="E375" s="7">
        <v>0</v>
      </c>
      <c r="F375" s="7">
        <v>501</v>
      </c>
      <c r="G375" s="7">
        <v>4.5</v>
      </c>
    </row>
    <row r="376" ht="15.75">
      <c r="A376" s="7" t="s">
        <v>405</v>
      </c>
      <c r="B376" s="7">
        <v>37.5</v>
      </c>
      <c r="C376" s="7">
        <v>0.10000000000000001</v>
      </c>
      <c r="D376" s="7">
        <v>10</v>
      </c>
      <c r="E376" s="7">
        <v>0</v>
      </c>
      <c r="F376" s="7">
        <v>511</v>
      </c>
      <c r="G376" s="7">
        <v>10.1</v>
      </c>
    </row>
    <row r="377" ht="15.75">
      <c r="A377" s="7" t="s">
        <v>406</v>
      </c>
      <c r="B377" s="7">
        <v>37.600000000000001</v>
      </c>
      <c r="C377" s="7">
        <v>0.10000000000000001</v>
      </c>
      <c r="D377" s="7">
        <v>8</v>
      </c>
      <c r="E377" s="7">
        <v>0</v>
      </c>
      <c r="F377" s="7">
        <v>519</v>
      </c>
      <c r="G377" s="7">
        <v>8.0999999999999996</v>
      </c>
    </row>
    <row r="378" ht="15.75">
      <c r="A378" s="7" t="s">
        <v>407</v>
      </c>
      <c r="B378" s="7">
        <v>37.700000000000003</v>
      </c>
      <c r="C378" s="7">
        <v>0.10000000000000001</v>
      </c>
      <c r="D378" s="7">
        <v>7</v>
      </c>
      <c r="E378" s="7">
        <v>0</v>
      </c>
      <c r="F378" s="7">
        <v>527</v>
      </c>
      <c r="G378" s="7">
        <v>7.4000000000000004</v>
      </c>
    </row>
    <row r="379" ht="15.75">
      <c r="A379" s="7" t="s">
        <v>408</v>
      </c>
      <c r="B379" s="7">
        <v>37.799999999999997</v>
      </c>
      <c r="C379" s="7">
        <v>0.10000000000000001</v>
      </c>
      <c r="D379" s="7">
        <v>0</v>
      </c>
      <c r="E379" s="7">
        <v>2</v>
      </c>
      <c r="F379" s="7">
        <v>525</v>
      </c>
      <c r="G379" s="7">
        <v>-2.1000000000000001</v>
      </c>
    </row>
    <row r="380" ht="15.75">
      <c r="A380" s="7" t="s">
        <v>409</v>
      </c>
      <c r="B380" s="7">
        <v>37.899999999999999</v>
      </c>
      <c r="C380" s="7">
        <v>0.10000000000000001</v>
      </c>
      <c r="D380" s="7">
        <v>0</v>
      </c>
      <c r="E380" s="7">
        <v>1</v>
      </c>
      <c r="F380" s="7">
        <v>524</v>
      </c>
      <c r="G380" s="7">
        <v>-0.90000000000000002</v>
      </c>
    </row>
    <row r="381" ht="15.75">
      <c r="A381" s="7" t="s">
        <v>410</v>
      </c>
      <c r="B381" s="7">
        <v>38</v>
      </c>
      <c r="C381" s="7">
        <v>0.10000000000000001</v>
      </c>
      <c r="D381" s="7">
        <v>3</v>
      </c>
      <c r="E381" s="7">
        <v>1</v>
      </c>
      <c r="F381" s="7">
        <v>526</v>
      </c>
      <c r="G381" s="7">
        <v>1.8</v>
      </c>
    </row>
    <row r="382" ht="15.75">
      <c r="A382" s="7" t="s">
        <v>411</v>
      </c>
      <c r="B382" s="7">
        <v>38.100000000000001</v>
      </c>
      <c r="C382" s="7">
        <v>0.10000000000000001</v>
      </c>
      <c r="D382" s="7">
        <v>4</v>
      </c>
      <c r="E382" s="7">
        <v>0</v>
      </c>
      <c r="F382" s="7">
        <v>530</v>
      </c>
      <c r="G382" s="7">
        <v>4.5</v>
      </c>
    </row>
    <row r="383" ht="15.75">
      <c r="A383" s="7" t="s">
        <v>412</v>
      </c>
      <c r="B383" s="7">
        <v>38.200000000000003</v>
      </c>
      <c r="C383" s="7">
        <v>0.10000000000000001</v>
      </c>
      <c r="D383" s="7">
        <v>4</v>
      </c>
      <c r="E383" s="7">
        <v>0</v>
      </c>
      <c r="F383" s="7">
        <v>534</v>
      </c>
      <c r="G383" s="7">
        <v>3.6000000000000001</v>
      </c>
    </row>
    <row r="384" ht="15.75">
      <c r="A384" s="7" t="s">
        <v>413</v>
      </c>
      <c r="B384" s="7">
        <v>38.299999999999997</v>
      </c>
      <c r="C384" s="7">
        <v>0.10000000000000001</v>
      </c>
      <c r="D384" s="7">
        <v>2</v>
      </c>
      <c r="E384" s="7">
        <v>1</v>
      </c>
      <c r="F384" s="7">
        <v>534</v>
      </c>
      <c r="G384" s="7">
        <v>0.5</v>
      </c>
    </row>
    <row r="385" ht="15.75">
      <c r="A385" s="7" t="s">
        <v>414</v>
      </c>
      <c r="B385" s="7">
        <v>38.399999999999999</v>
      </c>
      <c r="C385" s="7">
        <v>0.10000000000000001</v>
      </c>
      <c r="D385" s="7">
        <v>0</v>
      </c>
      <c r="E385" s="7">
        <v>4</v>
      </c>
      <c r="F385" s="7">
        <v>531</v>
      </c>
      <c r="G385" s="7">
        <v>-3.5</v>
      </c>
    </row>
    <row r="386" ht="15.75">
      <c r="A386" s="7" t="s">
        <v>415</v>
      </c>
      <c r="B386" s="7">
        <v>38.5</v>
      </c>
      <c r="C386" s="7">
        <v>0.10000000000000001</v>
      </c>
      <c r="D386" s="7">
        <v>0</v>
      </c>
      <c r="E386" s="7">
        <v>3</v>
      </c>
      <c r="F386" s="7">
        <v>527</v>
      </c>
      <c r="G386" s="7">
        <v>-3.3999999999999999</v>
      </c>
    </row>
    <row r="387" ht="15.75">
      <c r="A387" s="7" t="s">
        <v>416</v>
      </c>
      <c r="B387" s="7">
        <v>38.600000000000001</v>
      </c>
      <c r="C387" s="7">
        <v>0.10000000000000001</v>
      </c>
      <c r="D387" s="7">
        <v>0</v>
      </c>
      <c r="E387" s="7">
        <v>3</v>
      </c>
      <c r="F387" s="7">
        <v>524</v>
      </c>
      <c r="G387" s="7">
        <v>-2.7999999999999998</v>
      </c>
    </row>
    <row r="388" ht="15.75">
      <c r="A388" s="7" t="s">
        <v>417</v>
      </c>
      <c r="B388" s="7">
        <v>38.700000000000003</v>
      </c>
      <c r="C388" s="7">
        <v>0.10000000000000001</v>
      </c>
      <c r="D388" s="7">
        <v>0</v>
      </c>
      <c r="E388" s="7">
        <v>4</v>
      </c>
      <c r="F388" s="7">
        <v>521</v>
      </c>
      <c r="G388" s="7">
        <v>-3.7000000000000002</v>
      </c>
    </row>
    <row r="389" ht="15.75">
      <c r="A389" s="7" t="s">
        <v>418</v>
      </c>
      <c r="B389" s="7">
        <v>38.799999999999997</v>
      </c>
      <c r="C389" s="7">
        <v>0.10000000000000001</v>
      </c>
      <c r="D389" s="7">
        <v>0</v>
      </c>
      <c r="E389" s="7">
        <v>4</v>
      </c>
      <c r="F389" s="7">
        <v>517</v>
      </c>
      <c r="G389" s="7">
        <v>-3.7999999999999998</v>
      </c>
    </row>
    <row r="390" ht="15.75">
      <c r="A390" s="7" t="s">
        <v>419</v>
      </c>
      <c r="B390" s="7">
        <v>38.899999999999999</v>
      </c>
      <c r="C390" s="7">
        <v>0.10000000000000001</v>
      </c>
      <c r="D390" s="7">
        <v>1</v>
      </c>
      <c r="E390" s="7">
        <v>1</v>
      </c>
      <c r="F390" s="7">
        <v>517</v>
      </c>
      <c r="G390" s="7">
        <v>0.20000000000000001</v>
      </c>
    </row>
    <row r="391" ht="15.75">
      <c r="A391" s="7" t="s">
        <v>420</v>
      </c>
      <c r="B391" s="7">
        <v>39</v>
      </c>
      <c r="C391" s="7">
        <v>0.10000000000000001</v>
      </c>
      <c r="D391" s="7">
        <v>2</v>
      </c>
      <c r="E391" s="7">
        <v>0</v>
      </c>
      <c r="F391" s="7">
        <v>519</v>
      </c>
      <c r="G391" s="7">
        <v>1.6000000000000001</v>
      </c>
    </row>
    <row r="392" ht="15.75">
      <c r="A392" s="7" t="s">
        <v>421</v>
      </c>
      <c r="B392" s="7">
        <v>39.100000000000001</v>
      </c>
      <c r="C392" s="7">
        <v>0.10000000000000001</v>
      </c>
      <c r="D392" s="7">
        <v>1</v>
      </c>
      <c r="E392" s="7">
        <v>0</v>
      </c>
      <c r="F392" s="7">
        <v>520</v>
      </c>
      <c r="G392" s="7">
        <v>1.3</v>
      </c>
    </row>
    <row r="393" ht="15.75">
      <c r="A393" s="7" t="s">
        <v>422</v>
      </c>
      <c r="B393" s="7">
        <v>39.200000000000003</v>
      </c>
      <c r="C393" s="7">
        <v>0.10000000000000001</v>
      </c>
      <c r="D393" s="7">
        <v>1</v>
      </c>
      <c r="E393" s="7">
        <v>0</v>
      </c>
      <c r="F393" s="7">
        <v>521</v>
      </c>
      <c r="G393" s="7">
        <v>0.90000000000000002</v>
      </c>
    </row>
    <row r="394" ht="15.75">
      <c r="A394" s="7" t="s">
        <v>423</v>
      </c>
      <c r="B394" s="7">
        <v>39.299999999999997</v>
      </c>
      <c r="C394" s="7">
        <v>0.10000000000000001</v>
      </c>
      <c r="D394" s="7">
        <v>0</v>
      </c>
      <c r="E394" s="7">
        <v>1</v>
      </c>
      <c r="F394" s="7">
        <v>521</v>
      </c>
      <c r="G394" s="7">
        <v>-0.40000000000000002</v>
      </c>
    </row>
    <row r="395" ht="15.75">
      <c r="A395" s="7" t="s">
        <v>424</v>
      </c>
      <c r="B395" s="7">
        <v>39.399999999999999</v>
      </c>
      <c r="C395" s="7">
        <v>0.10000000000000001</v>
      </c>
      <c r="D395" s="7">
        <v>0</v>
      </c>
      <c r="E395" s="7">
        <v>2</v>
      </c>
      <c r="F395" s="7">
        <v>518</v>
      </c>
      <c r="G395" s="7">
        <v>-2.1000000000000001</v>
      </c>
    </row>
    <row r="396" ht="15.75">
      <c r="A396" s="7" t="s">
        <v>425</v>
      </c>
      <c r="B396" s="7">
        <v>39.5</v>
      </c>
      <c r="C396" s="7">
        <v>0.10000000000000001</v>
      </c>
      <c r="D396" s="7">
        <v>0</v>
      </c>
      <c r="E396" s="7">
        <v>1</v>
      </c>
      <c r="F396" s="7">
        <v>518</v>
      </c>
      <c r="G396" s="7">
        <v>-0.59999999999999998</v>
      </c>
    </row>
    <row r="397" ht="15.75">
      <c r="A397" s="7" t="s">
        <v>426</v>
      </c>
      <c r="B397" s="7">
        <v>39.600000000000001</v>
      </c>
      <c r="C397" s="7">
        <v>0.10000000000000001</v>
      </c>
      <c r="D397" s="7">
        <v>3</v>
      </c>
      <c r="E397" s="7">
        <v>0</v>
      </c>
      <c r="F397" s="7">
        <v>521</v>
      </c>
      <c r="G397" s="7">
        <v>2.8999999999999999</v>
      </c>
    </row>
    <row r="398" ht="15.75">
      <c r="A398" s="7" t="s">
        <v>427</v>
      </c>
      <c r="B398" s="7">
        <v>39.700000000000003</v>
      </c>
      <c r="C398" s="7">
        <v>0.10000000000000001</v>
      </c>
      <c r="D398" s="7">
        <v>0</v>
      </c>
      <c r="E398" s="7">
        <v>0</v>
      </c>
      <c r="F398" s="7">
        <v>521</v>
      </c>
      <c r="G398" s="7">
        <v>-0.20000000000000001</v>
      </c>
    </row>
    <row r="399" ht="15.75">
      <c r="A399" s="7" t="s">
        <v>428</v>
      </c>
      <c r="B399" s="7">
        <v>39.799999999999997</v>
      </c>
      <c r="C399" s="7">
        <v>0.10000000000000001</v>
      </c>
      <c r="D399" s="7">
        <v>0</v>
      </c>
      <c r="E399" s="7">
        <v>1</v>
      </c>
      <c r="F399" s="7">
        <v>520</v>
      </c>
      <c r="G399" s="7">
        <v>-0.59999999999999998</v>
      </c>
    </row>
    <row r="400" ht="15.75">
      <c r="A400" s="7" t="s">
        <v>429</v>
      </c>
      <c r="B400" s="7">
        <v>39.899999999999999</v>
      </c>
      <c r="C400" s="7">
        <v>0.10000000000000001</v>
      </c>
      <c r="D400" s="7">
        <v>1</v>
      </c>
      <c r="E400" s="7">
        <v>0</v>
      </c>
      <c r="F400" s="7">
        <v>521</v>
      </c>
      <c r="G400" s="7">
        <v>1.2</v>
      </c>
    </row>
    <row r="401" ht="15.75">
      <c r="A401" s="7" t="s">
        <v>27</v>
      </c>
      <c r="B401" s="7">
        <v>40</v>
      </c>
      <c r="C401" s="7">
        <v>0.10000000000000001</v>
      </c>
      <c r="D401" s="7">
        <v>1</v>
      </c>
      <c r="E401" s="7">
        <v>1</v>
      </c>
      <c r="F401" s="7">
        <v>521</v>
      </c>
      <c r="G401" s="7">
        <v>-0.29999999999999999</v>
      </c>
    </row>
    <row r="402" ht="15.75">
      <c r="A402" s="7" t="s">
        <v>430</v>
      </c>
      <c r="B402" s="7">
        <v>40.100000000000001</v>
      </c>
      <c r="C402" s="7">
        <v>0.10000000000000001</v>
      </c>
      <c r="D402" s="7">
        <v>0</v>
      </c>
      <c r="E402" s="7">
        <v>3</v>
      </c>
      <c r="F402" s="7">
        <v>518</v>
      </c>
      <c r="G402" s="7">
        <v>-3.1000000000000001</v>
      </c>
    </row>
    <row r="403" ht="15.75">
      <c r="A403" s="7" t="s">
        <v>431</v>
      </c>
      <c r="B403" s="7">
        <v>40.200000000000003</v>
      </c>
      <c r="C403" s="7">
        <v>0.10000000000000001</v>
      </c>
      <c r="D403" s="7">
        <v>0</v>
      </c>
      <c r="E403" s="7">
        <v>3</v>
      </c>
      <c r="F403" s="7">
        <v>515</v>
      </c>
      <c r="G403" s="7">
        <v>-2.8999999999999999</v>
      </c>
    </row>
    <row r="404" ht="15.75">
      <c r="A404" s="7" t="s">
        <v>432</v>
      </c>
      <c r="B404" s="7">
        <v>40.299999999999997</v>
      </c>
      <c r="C404" s="7">
        <v>0.10000000000000001</v>
      </c>
      <c r="D404" s="7">
        <v>0</v>
      </c>
      <c r="E404" s="7">
        <v>6</v>
      </c>
      <c r="F404" s="7">
        <v>509</v>
      </c>
      <c r="G404" s="7">
        <v>-5.5999999999999996</v>
      </c>
    </row>
    <row r="405" ht="15.75">
      <c r="A405" s="7" t="s">
        <v>433</v>
      </c>
      <c r="B405" s="7">
        <v>40.399999999999999</v>
      </c>
      <c r="C405" s="7">
        <v>0.10000000000000001</v>
      </c>
      <c r="D405" s="7">
        <v>0</v>
      </c>
      <c r="E405" s="7">
        <v>8</v>
      </c>
      <c r="F405" s="7">
        <v>502</v>
      </c>
      <c r="G405" s="7">
        <v>-7.7000000000000002</v>
      </c>
    </row>
    <row r="406" ht="15.75">
      <c r="A406" s="7" t="s">
        <v>434</v>
      </c>
      <c r="B406" s="7">
        <v>40.5</v>
      </c>
      <c r="C406" s="7">
        <v>0.10000000000000001</v>
      </c>
      <c r="D406" s="7">
        <v>0</v>
      </c>
      <c r="E406" s="7">
        <v>7</v>
      </c>
      <c r="F406" s="7">
        <v>495</v>
      </c>
      <c r="G406" s="7">
        <v>-6.5999999999999996</v>
      </c>
    </row>
    <row r="407" ht="15.75">
      <c r="A407" s="7" t="s">
        <v>435</v>
      </c>
      <c r="B407" s="7">
        <v>40.600000000000001</v>
      </c>
      <c r="C407" s="7">
        <v>0.10000000000000001</v>
      </c>
      <c r="D407" s="7">
        <v>1</v>
      </c>
      <c r="E407" s="7">
        <v>3</v>
      </c>
      <c r="F407" s="7">
        <v>494</v>
      </c>
      <c r="G407" s="7">
        <v>-1.3</v>
      </c>
    </row>
    <row r="408" ht="15.75">
      <c r="A408" s="7" t="s">
        <v>436</v>
      </c>
      <c r="B408" s="7">
        <v>40.700000000000003</v>
      </c>
      <c r="C408" s="7">
        <v>0.10000000000000001</v>
      </c>
      <c r="D408" s="7">
        <v>3</v>
      </c>
      <c r="E408" s="7">
        <v>0</v>
      </c>
      <c r="F408" s="7">
        <v>496</v>
      </c>
      <c r="G408" s="7">
        <v>2.7999999999999998</v>
      </c>
    </row>
    <row r="409" ht="15.75">
      <c r="A409" s="7" t="s">
        <v>437</v>
      </c>
      <c r="B409" s="7">
        <v>40.799999999999997</v>
      </c>
      <c r="C409" s="7">
        <v>0.10000000000000001</v>
      </c>
      <c r="D409" s="7">
        <v>2</v>
      </c>
      <c r="E409" s="7">
        <v>0</v>
      </c>
      <c r="F409" s="7">
        <v>498</v>
      </c>
      <c r="G409" s="7">
        <v>1.6000000000000001</v>
      </c>
    </row>
    <row r="410" ht="15.75">
      <c r="A410" s="7" t="s">
        <v>438</v>
      </c>
      <c r="B410" s="7">
        <v>40.899999999999999</v>
      </c>
      <c r="C410" s="7">
        <v>0.10000000000000001</v>
      </c>
      <c r="D410" s="7">
        <v>8</v>
      </c>
      <c r="E410" s="7">
        <v>0</v>
      </c>
      <c r="F410" s="7">
        <v>506</v>
      </c>
      <c r="G410" s="7">
        <v>7.7999999999999998</v>
      </c>
    </row>
    <row r="411" ht="15.75">
      <c r="A411" s="7" t="s">
        <v>439</v>
      </c>
      <c r="B411" s="7">
        <v>41</v>
      </c>
      <c r="C411" s="7">
        <v>0.10000000000000001</v>
      </c>
      <c r="D411" s="7">
        <v>11</v>
      </c>
      <c r="E411" s="7">
        <v>0</v>
      </c>
      <c r="F411" s="7">
        <v>517</v>
      </c>
      <c r="G411" s="7">
        <v>10.9</v>
      </c>
    </row>
    <row r="412" ht="15.75">
      <c r="A412" s="7" t="s">
        <v>440</v>
      </c>
      <c r="B412" s="7">
        <v>41.100000000000001</v>
      </c>
      <c r="C412" s="7">
        <v>0.10000000000000001</v>
      </c>
      <c r="D412" s="7">
        <v>12</v>
      </c>
      <c r="E412" s="7">
        <v>0</v>
      </c>
      <c r="F412" s="7">
        <v>529</v>
      </c>
      <c r="G412" s="7">
        <v>12.199999999999999</v>
      </c>
    </row>
    <row r="413" ht="15.75">
      <c r="A413" s="7" t="s">
        <v>441</v>
      </c>
      <c r="B413" s="7">
        <v>41.200000000000003</v>
      </c>
      <c r="C413" s="7">
        <v>0.10000000000000001</v>
      </c>
      <c r="D413" s="7">
        <v>9</v>
      </c>
      <c r="E413" s="7">
        <v>0</v>
      </c>
      <c r="F413" s="7">
        <v>538</v>
      </c>
      <c r="G413" s="7">
        <v>9.1999999999999993</v>
      </c>
    </row>
    <row r="414" ht="15.75">
      <c r="A414" s="7" t="s">
        <v>442</v>
      </c>
      <c r="B414" s="7">
        <v>41.299999999999997</v>
      </c>
      <c r="C414" s="7">
        <v>0.10000000000000001</v>
      </c>
      <c r="D414" s="7">
        <v>1</v>
      </c>
      <c r="E414" s="7">
        <v>2</v>
      </c>
      <c r="F414" s="7">
        <v>537</v>
      </c>
      <c r="G414" s="7">
        <v>-1.3999999999999999</v>
      </c>
    </row>
    <row r="415" ht="15.75">
      <c r="A415" s="7" t="s">
        <v>443</v>
      </c>
      <c r="B415" s="7">
        <v>41.399999999999999</v>
      </c>
      <c r="C415" s="7">
        <v>0.10000000000000001</v>
      </c>
      <c r="D415" s="7">
        <v>0</v>
      </c>
      <c r="E415" s="7">
        <v>7</v>
      </c>
      <c r="F415" s="7">
        <v>530</v>
      </c>
      <c r="G415" s="7">
        <v>-6.7000000000000002</v>
      </c>
    </row>
    <row r="416" ht="15.75">
      <c r="A416" s="7" t="s">
        <v>444</v>
      </c>
      <c r="B416" s="7">
        <v>41.5</v>
      </c>
      <c r="C416" s="7">
        <v>0.10000000000000001</v>
      </c>
      <c r="D416" s="7">
        <v>0</v>
      </c>
      <c r="E416" s="7">
        <v>7</v>
      </c>
      <c r="F416" s="7">
        <v>523</v>
      </c>
      <c r="G416" s="7">
        <v>-7</v>
      </c>
    </row>
    <row r="417" ht="15.75">
      <c r="A417" s="7" t="s">
        <v>445</v>
      </c>
      <c r="B417" s="7">
        <v>41.600000000000001</v>
      </c>
      <c r="C417" s="7">
        <v>0.10000000000000001</v>
      </c>
      <c r="D417" s="7">
        <v>0</v>
      </c>
      <c r="E417" s="7">
        <v>7</v>
      </c>
      <c r="F417" s="7">
        <v>516</v>
      </c>
      <c r="G417" s="7">
        <v>-7.4000000000000004</v>
      </c>
    </row>
    <row r="418" ht="15.75">
      <c r="A418" s="7" t="s">
        <v>446</v>
      </c>
      <c r="B418" s="7">
        <v>41.700000000000003</v>
      </c>
      <c r="C418" s="7">
        <v>0.10000000000000001</v>
      </c>
      <c r="D418" s="7">
        <v>0</v>
      </c>
      <c r="E418" s="7">
        <v>2</v>
      </c>
      <c r="F418" s="7">
        <v>514</v>
      </c>
      <c r="G418" s="7">
        <v>-2</v>
      </c>
    </row>
    <row r="419" ht="15.75">
      <c r="A419" s="7" t="s">
        <v>447</v>
      </c>
      <c r="B419" s="7">
        <v>41.799999999999997</v>
      </c>
      <c r="C419" s="7">
        <v>0.10000000000000001</v>
      </c>
      <c r="D419" s="7">
        <v>3</v>
      </c>
      <c r="E419" s="7">
        <v>0</v>
      </c>
      <c r="F419" s="7">
        <v>517</v>
      </c>
      <c r="G419" s="7">
        <v>2.8999999999999999</v>
      </c>
    </row>
    <row r="420" ht="15.75">
      <c r="A420" s="7" t="s">
        <v>448</v>
      </c>
      <c r="B420" s="7">
        <v>41.899999999999999</v>
      </c>
      <c r="C420" s="7">
        <v>0.10000000000000001</v>
      </c>
      <c r="D420" s="7">
        <v>4</v>
      </c>
      <c r="E420" s="7">
        <v>0</v>
      </c>
      <c r="F420" s="7">
        <v>520</v>
      </c>
      <c r="G420" s="7">
        <v>3.8999999999999999</v>
      </c>
    </row>
    <row r="421" ht="15.75">
      <c r="A421" s="7" t="s">
        <v>449</v>
      </c>
      <c r="B421" s="7">
        <v>42</v>
      </c>
      <c r="C421" s="7">
        <v>0.10000000000000001</v>
      </c>
      <c r="D421" s="7">
        <v>4</v>
      </c>
      <c r="E421" s="7">
        <v>0</v>
      </c>
      <c r="F421" s="7">
        <v>525</v>
      </c>
      <c r="G421" s="7">
        <v>4.2000000000000002</v>
      </c>
    </row>
    <row r="422" ht="15.75">
      <c r="A422" s="7" t="s">
        <v>450</v>
      </c>
      <c r="B422" s="7">
        <v>42.100000000000001</v>
      </c>
      <c r="C422" s="7">
        <v>0.10000000000000001</v>
      </c>
      <c r="D422" s="7">
        <v>2</v>
      </c>
      <c r="E422" s="7">
        <v>0</v>
      </c>
      <c r="F422" s="7">
        <v>527</v>
      </c>
      <c r="G422" s="7">
        <v>2.2999999999999998</v>
      </c>
    </row>
    <row r="423" ht="15.75">
      <c r="A423" s="7" t="s">
        <v>451</v>
      </c>
      <c r="B423" s="7">
        <v>42.200000000000003</v>
      </c>
      <c r="C423" s="7">
        <v>0.10000000000000001</v>
      </c>
      <c r="D423" s="7">
        <v>7</v>
      </c>
      <c r="E423" s="7">
        <v>0</v>
      </c>
      <c r="F423" s="7">
        <v>534</v>
      </c>
      <c r="G423" s="7">
        <v>7</v>
      </c>
    </row>
    <row r="424" ht="15.75">
      <c r="A424" s="7" t="s">
        <v>452</v>
      </c>
      <c r="B424" s="7">
        <v>42.299999999999997</v>
      </c>
      <c r="C424" s="7">
        <v>0.10000000000000001</v>
      </c>
      <c r="D424" s="7">
        <v>12</v>
      </c>
      <c r="E424" s="7">
        <v>0</v>
      </c>
      <c r="F424" s="7">
        <v>546</v>
      </c>
      <c r="G424" s="7">
        <v>12.4</v>
      </c>
    </row>
    <row r="425" ht="15.75">
      <c r="A425" s="7" t="s">
        <v>453</v>
      </c>
      <c r="B425" s="7">
        <v>42.399999999999999</v>
      </c>
      <c r="C425" s="7">
        <v>0.10000000000000001</v>
      </c>
      <c r="D425" s="7">
        <v>9</v>
      </c>
      <c r="E425" s="7">
        <v>0</v>
      </c>
      <c r="F425" s="7">
        <v>556</v>
      </c>
      <c r="G425" s="7">
        <v>9.5</v>
      </c>
    </row>
    <row r="426" ht="15.75">
      <c r="A426" s="7" t="s">
        <v>454</v>
      </c>
      <c r="B426" s="7">
        <v>42.5</v>
      </c>
      <c r="C426" s="7">
        <v>0.10000000000000001</v>
      </c>
      <c r="D426" s="7">
        <v>7</v>
      </c>
      <c r="E426" s="7">
        <v>0</v>
      </c>
      <c r="F426" s="7">
        <v>562</v>
      </c>
      <c r="G426" s="7">
        <v>6.5</v>
      </c>
    </row>
    <row r="427" ht="15.75">
      <c r="A427" s="7" t="s">
        <v>455</v>
      </c>
      <c r="B427" s="7">
        <v>42.600000000000001</v>
      </c>
      <c r="C427" s="7">
        <v>0.10000000000000001</v>
      </c>
      <c r="D427" s="7">
        <v>15</v>
      </c>
      <c r="E427" s="7">
        <v>0</v>
      </c>
      <c r="F427" s="7">
        <v>577</v>
      </c>
      <c r="G427" s="7">
        <v>14.6</v>
      </c>
    </row>
    <row r="428" ht="15.75">
      <c r="A428" s="7" t="s">
        <v>456</v>
      </c>
      <c r="B428" s="7">
        <v>42.700000000000003</v>
      </c>
      <c r="C428" s="7">
        <v>0.10000000000000001</v>
      </c>
      <c r="D428" s="7">
        <v>15</v>
      </c>
      <c r="E428" s="7">
        <v>0</v>
      </c>
      <c r="F428" s="7">
        <v>592</v>
      </c>
      <c r="G428" s="7">
        <v>15.199999999999999</v>
      </c>
    </row>
    <row r="429" ht="15.75">
      <c r="A429" s="7" t="s">
        <v>457</v>
      </c>
      <c r="B429" s="7">
        <v>42.799999999999997</v>
      </c>
      <c r="C429" s="7">
        <v>0.10000000000000001</v>
      </c>
      <c r="D429" s="7">
        <v>8</v>
      </c>
      <c r="E429" s="7">
        <v>0</v>
      </c>
      <c r="F429" s="7">
        <v>600</v>
      </c>
      <c r="G429" s="7">
        <v>8.3000000000000007</v>
      </c>
    </row>
    <row r="430" ht="15.75">
      <c r="A430" s="7" t="s">
        <v>458</v>
      </c>
      <c r="B430" s="7">
        <v>42.899999999999999</v>
      </c>
      <c r="C430" s="7">
        <v>0.10000000000000001</v>
      </c>
      <c r="D430" s="7">
        <v>6</v>
      </c>
      <c r="E430" s="7">
        <v>0</v>
      </c>
      <c r="F430" s="7">
        <v>606</v>
      </c>
      <c r="G430" s="7">
        <v>5.7000000000000002</v>
      </c>
    </row>
    <row r="431" ht="15.75">
      <c r="A431" s="7" t="s">
        <v>459</v>
      </c>
      <c r="B431" s="7">
        <v>43</v>
      </c>
      <c r="C431" s="7">
        <v>0.10000000000000001</v>
      </c>
      <c r="D431" s="7">
        <v>5</v>
      </c>
      <c r="E431" s="7">
        <v>0</v>
      </c>
      <c r="F431" s="7">
        <v>611</v>
      </c>
      <c r="G431" s="7">
        <v>5.4000000000000004</v>
      </c>
    </row>
    <row r="432" ht="15.75">
      <c r="A432" s="7" t="s">
        <v>460</v>
      </c>
      <c r="B432" s="7">
        <v>43.100000000000001</v>
      </c>
      <c r="C432" s="7">
        <v>0.10000000000000001</v>
      </c>
      <c r="D432" s="7">
        <v>5</v>
      </c>
      <c r="E432" s="7">
        <v>0</v>
      </c>
      <c r="F432" s="7">
        <v>617</v>
      </c>
      <c r="G432" s="7">
        <v>5.2999999999999998</v>
      </c>
    </row>
    <row r="433" ht="15.75">
      <c r="A433" s="7" t="s">
        <v>461</v>
      </c>
      <c r="B433" s="7">
        <v>43.200000000000003</v>
      </c>
      <c r="C433" s="7">
        <v>0.10000000000000001</v>
      </c>
      <c r="D433" s="7">
        <v>6</v>
      </c>
      <c r="E433" s="7">
        <v>0</v>
      </c>
      <c r="F433" s="7">
        <v>623</v>
      </c>
      <c r="G433" s="7">
        <v>6.4000000000000004</v>
      </c>
    </row>
    <row r="434" ht="15.75">
      <c r="A434" s="7" t="s">
        <v>462</v>
      </c>
      <c r="B434" s="7">
        <v>43.299999999999997</v>
      </c>
      <c r="C434" s="7">
        <v>0.10000000000000001</v>
      </c>
      <c r="D434" s="7">
        <v>7</v>
      </c>
      <c r="E434" s="7">
        <v>0</v>
      </c>
      <c r="F434" s="7">
        <v>630</v>
      </c>
      <c r="G434" s="7">
        <v>7</v>
      </c>
    </row>
    <row r="435" ht="15.75">
      <c r="A435" s="7" t="s">
        <v>463</v>
      </c>
      <c r="B435" s="7">
        <v>43.399999999999999</v>
      </c>
      <c r="C435" s="7">
        <v>0.10000000000000001</v>
      </c>
      <c r="D435" s="7">
        <v>6</v>
      </c>
      <c r="E435" s="7">
        <v>0</v>
      </c>
      <c r="F435" s="7">
        <v>637</v>
      </c>
      <c r="G435" s="7">
        <v>6.5</v>
      </c>
    </row>
    <row r="436" ht="15.75">
      <c r="A436" s="7" t="s">
        <v>464</v>
      </c>
      <c r="B436" s="7">
        <v>43.5</v>
      </c>
      <c r="C436" s="7">
        <v>0.10000000000000001</v>
      </c>
      <c r="D436" s="7">
        <v>4</v>
      </c>
      <c r="E436" s="7">
        <v>0</v>
      </c>
      <c r="F436" s="7">
        <v>640</v>
      </c>
      <c r="G436" s="7">
        <v>3.7000000000000002</v>
      </c>
    </row>
    <row r="437" ht="15.75">
      <c r="A437" s="7" t="s">
        <v>465</v>
      </c>
      <c r="B437" s="7">
        <v>43.600000000000001</v>
      </c>
      <c r="C437" s="7">
        <v>0.10000000000000001</v>
      </c>
      <c r="D437" s="7">
        <v>3</v>
      </c>
      <c r="E437" s="7">
        <v>0</v>
      </c>
      <c r="F437" s="7">
        <v>643</v>
      </c>
      <c r="G437" s="7">
        <v>3</v>
      </c>
    </row>
    <row r="438" ht="15.75">
      <c r="A438" s="7" t="s">
        <v>466</v>
      </c>
      <c r="B438" s="7">
        <v>43.700000000000003</v>
      </c>
      <c r="C438" s="7">
        <v>0.10000000000000001</v>
      </c>
      <c r="D438" s="7">
        <v>3</v>
      </c>
      <c r="E438" s="7">
        <v>0</v>
      </c>
      <c r="F438" s="7">
        <v>646</v>
      </c>
      <c r="G438" s="7">
        <v>3.1000000000000001</v>
      </c>
    </row>
    <row r="439" ht="15.75">
      <c r="A439" s="7" t="s">
        <v>467</v>
      </c>
      <c r="B439" s="7">
        <v>43.799999999999997</v>
      </c>
      <c r="C439" s="7">
        <v>0.10000000000000001</v>
      </c>
      <c r="D439" s="7">
        <v>3</v>
      </c>
      <c r="E439" s="7">
        <v>0</v>
      </c>
      <c r="F439" s="7">
        <v>649</v>
      </c>
      <c r="G439" s="7">
        <v>2.8999999999999999</v>
      </c>
    </row>
    <row r="440" ht="15.75">
      <c r="A440" s="7" t="s">
        <v>468</v>
      </c>
      <c r="B440" s="7">
        <v>43.899999999999999</v>
      </c>
      <c r="C440" s="7">
        <v>0.10000000000000001</v>
      </c>
      <c r="D440" s="7">
        <v>3</v>
      </c>
      <c r="E440" s="7">
        <v>0</v>
      </c>
      <c r="F440" s="7">
        <v>652</v>
      </c>
      <c r="G440" s="7">
        <v>2.7000000000000002</v>
      </c>
    </row>
    <row r="441" ht="15.75">
      <c r="A441" s="7" t="s">
        <v>469</v>
      </c>
      <c r="B441" s="7">
        <v>44</v>
      </c>
      <c r="C441" s="7">
        <v>0.10000000000000001</v>
      </c>
      <c r="D441" s="7">
        <v>0</v>
      </c>
      <c r="E441" s="7">
        <v>1</v>
      </c>
      <c r="F441" s="7">
        <v>651</v>
      </c>
      <c r="G441" s="7">
        <v>-0.80000000000000004</v>
      </c>
    </row>
    <row r="442" ht="15.75">
      <c r="A442" s="7" t="s">
        <v>470</v>
      </c>
      <c r="B442" s="7">
        <v>44.100000000000001</v>
      </c>
      <c r="C442" s="7">
        <v>0.10000000000000001</v>
      </c>
      <c r="D442" s="7">
        <v>0</v>
      </c>
      <c r="E442" s="7">
        <v>3</v>
      </c>
      <c r="F442" s="7">
        <v>648</v>
      </c>
      <c r="G442" s="7">
        <v>-2.7999999999999998</v>
      </c>
    </row>
    <row r="443" ht="15.75">
      <c r="A443" s="7" t="s">
        <v>471</v>
      </c>
      <c r="B443" s="7">
        <v>44.200000000000003</v>
      </c>
      <c r="C443" s="7">
        <v>0.10000000000000001</v>
      </c>
      <c r="D443" s="7">
        <v>0</v>
      </c>
      <c r="E443" s="7">
        <v>2</v>
      </c>
      <c r="F443" s="7">
        <v>646</v>
      </c>
      <c r="G443" s="7">
        <v>-2.3999999999999999</v>
      </c>
    </row>
    <row r="444" ht="15.75">
      <c r="A444" s="7" t="s">
        <v>472</v>
      </c>
      <c r="B444" s="7">
        <v>44.299999999999997</v>
      </c>
      <c r="C444" s="7">
        <v>0.10000000000000001</v>
      </c>
      <c r="D444" s="7">
        <v>1</v>
      </c>
      <c r="E444" s="7">
        <v>2</v>
      </c>
      <c r="F444" s="7">
        <v>645</v>
      </c>
      <c r="G444" s="7">
        <v>-1.3</v>
      </c>
    </row>
    <row r="445" ht="15.75">
      <c r="A445" s="7" t="s">
        <v>473</v>
      </c>
      <c r="B445" s="7">
        <v>44.399999999999999</v>
      </c>
      <c r="C445" s="7">
        <v>0.10000000000000001</v>
      </c>
      <c r="D445" s="7">
        <v>1</v>
      </c>
      <c r="E445" s="7">
        <v>0</v>
      </c>
      <c r="F445" s="7">
        <v>646</v>
      </c>
      <c r="G445" s="7">
        <v>1.3</v>
      </c>
    </row>
    <row r="446" ht="15.75">
      <c r="A446" s="7" t="s">
        <v>474</v>
      </c>
      <c r="B446" s="7">
        <v>44.5</v>
      </c>
      <c r="C446" s="7">
        <v>0.10000000000000001</v>
      </c>
      <c r="D446" s="7">
        <v>1</v>
      </c>
      <c r="E446" s="7">
        <v>0</v>
      </c>
      <c r="F446" s="7">
        <v>647</v>
      </c>
      <c r="G446" s="7">
        <v>1.3</v>
      </c>
    </row>
    <row r="447" ht="15.75">
      <c r="A447" s="7" t="s">
        <v>475</v>
      </c>
      <c r="B447" s="7">
        <v>44.600000000000001</v>
      </c>
      <c r="C447" s="7">
        <v>0.10000000000000001</v>
      </c>
      <c r="D447" s="7">
        <v>0</v>
      </c>
      <c r="E447" s="7">
        <v>2</v>
      </c>
      <c r="F447" s="7">
        <v>646</v>
      </c>
      <c r="G447" s="7">
        <v>-1.5</v>
      </c>
    </row>
    <row r="448" ht="15.75">
      <c r="A448" s="7" t="s">
        <v>476</v>
      </c>
      <c r="B448" s="7">
        <v>44.700000000000003</v>
      </c>
      <c r="C448" s="7">
        <v>0.10000000000000001</v>
      </c>
      <c r="D448" s="7">
        <v>0</v>
      </c>
      <c r="E448" s="7">
        <v>2</v>
      </c>
      <c r="F448" s="7">
        <v>643</v>
      </c>
      <c r="G448" s="7">
        <v>-2.5</v>
      </c>
    </row>
    <row r="449" ht="15.75">
      <c r="A449" s="7" t="s">
        <v>477</v>
      </c>
      <c r="B449" s="7">
        <v>44.799999999999997</v>
      </c>
      <c r="C449" s="7">
        <v>0.10000000000000001</v>
      </c>
      <c r="D449" s="7">
        <v>0</v>
      </c>
      <c r="E449" s="7">
        <v>2</v>
      </c>
      <c r="F449" s="7">
        <v>641</v>
      </c>
      <c r="G449" s="7">
        <v>-2.1000000000000001</v>
      </c>
    </row>
    <row r="450" ht="15.75">
      <c r="A450" s="7" t="s">
        <v>478</v>
      </c>
      <c r="B450" s="7">
        <v>44.899999999999999</v>
      </c>
      <c r="C450" s="7">
        <v>0.10000000000000001</v>
      </c>
      <c r="D450" s="7">
        <v>0</v>
      </c>
      <c r="E450" s="7">
        <v>6</v>
      </c>
      <c r="F450" s="7">
        <v>635</v>
      </c>
      <c r="G450" s="7">
        <v>-6.2000000000000002</v>
      </c>
    </row>
    <row r="451" ht="15.75">
      <c r="A451" s="7" t="s">
        <v>28</v>
      </c>
      <c r="B451" s="7">
        <v>45</v>
      </c>
      <c r="C451" s="7">
        <v>0.10000000000000001</v>
      </c>
      <c r="D451" s="7">
        <v>0</v>
      </c>
      <c r="E451" s="7">
        <v>11</v>
      </c>
      <c r="F451" s="7">
        <v>624</v>
      </c>
      <c r="G451" s="7">
        <v>-10.699999999999999</v>
      </c>
    </row>
    <row r="452" ht="15.75">
      <c r="A452" s="7" t="s">
        <v>479</v>
      </c>
      <c r="B452" s="7">
        <v>45.100000000000001</v>
      </c>
      <c r="C452" s="7">
        <v>0.10000000000000001</v>
      </c>
      <c r="D452" s="7">
        <v>0</v>
      </c>
      <c r="E452" s="7">
        <v>5</v>
      </c>
      <c r="F452" s="7">
        <v>619</v>
      </c>
      <c r="G452" s="7">
        <v>-5.4000000000000004</v>
      </c>
    </row>
    <row r="453" ht="15.75">
      <c r="A453" s="7" t="s">
        <v>480</v>
      </c>
      <c r="B453" s="7">
        <v>45.200000000000003</v>
      </c>
      <c r="C453" s="7">
        <v>0.10000000000000001</v>
      </c>
      <c r="D453" s="7">
        <v>1</v>
      </c>
      <c r="E453" s="7">
        <v>1</v>
      </c>
      <c r="F453" s="7">
        <v>619</v>
      </c>
      <c r="G453" s="7">
        <v>0.10000000000000001</v>
      </c>
    </row>
    <row r="454" ht="15.75">
      <c r="A454" s="7" t="s">
        <v>481</v>
      </c>
      <c r="B454" s="7">
        <v>45.299999999999997</v>
      </c>
      <c r="C454" s="7">
        <v>0.10000000000000001</v>
      </c>
      <c r="D454" s="7">
        <v>3</v>
      </c>
      <c r="E454" s="7">
        <v>0</v>
      </c>
      <c r="F454" s="7">
        <v>622</v>
      </c>
      <c r="G454" s="7">
        <v>3.1000000000000001</v>
      </c>
    </row>
    <row r="455" ht="15.75">
      <c r="A455" s="7" t="s">
        <v>482</v>
      </c>
      <c r="B455" s="7">
        <v>45.399999999999999</v>
      </c>
      <c r="C455" s="7">
        <v>0.10000000000000001</v>
      </c>
      <c r="D455" s="7">
        <v>4</v>
      </c>
      <c r="E455" s="7">
        <v>0</v>
      </c>
      <c r="F455" s="7">
        <v>626</v>
      </c>
      <c r="G455" s="7">
        <v>3.8999999999999999</v>
      </c>
    </row>
    <row r="456" ht="15.75">
      <c r="A456" s="7" t="s">
        <v>483</v>
      </c>
      <c r="B456" s="7">
        <v>45.5</v>
      </c>
      <c r="C456" s="7">
        <v>0.10000000000000001</v>
      </c>
      <c r="D456" s="7">
        <v>3</v>
      </c>
      <c r="E456" s="7">
        <v>0</v>
      </c>
      <c r="F456" s="7">
        <v>629</v>
      </c>
      <c r="G456" s="7">
        <v>3.2000000000000002</v>
      </c>
    </row>
    <row r="457" ht="15.75">
      <c r="A457" s="7" t="s">
        <v>484</v>
      </c>
      <c r="B457" s="7">
        <v>45.600000000000001</v>
      </c>
      <c r="C457" s="7">
        <v>0.10000000000000001</v>
      </c>
      <c r="D457" s="7">
        <v>0</v>
      </c>
      <c r="E457" s="7">
        <v>0</v>
      </c>
      <c r="F457" s="7">
        <v>629</v>
      </c>
      <c r="G457" s="7">
        <v>-0.10000000000000001</v>
      </c>
    </row>
    <row r="458" ht="15.75">
      <c r="A458" s="7" t="s">
        <v>485</v>
      </c>
      <c r="B458" s="7">
        <v>45.700000000000003</v>
      </c>
      <c r="C458" s="7">
        <v>0.10000000000000001</v>
      </c>
      <c r="D458" s="7">
        <v>0</v>
      </c>
      <c r="E458" s="7">
        <v>1</v>
      </c>
      <c r="F458" s="7">
        <v>628</v>
      </c>
      <c r="G458" s="7">
        <v>-1</v>
      </c>
    </row>
    <row r="459" ht="15.75">
      <c r="A459" s="7" t="s">
        <v>486</v>
      </c>
      <c r="B459" s="7">
        <v>45.799999999999997</v>
      </c>
      <c r="C459" s="7">
        <v>0.10000000000000001</v>
      </c>
      <c r="D459" s="7">
        <v>0</v>
      </c>
      <c r="E459" s="7">
        <v>0</v>
      </c>
      <c r="F459" s="7">
        <v>628</v>
      </c>
      <c r="G459" s="7">
        <v>-0.40000000000000002</v>
      </c>
    </row>
    <row r="460" ht="15.75">
      <c r="A460" s="7" t="s">
        <v>487</v>
      </c>
      <c r="B460" s="7">
        <v>45.899999999999999</v>
      </c>
      <c r="C460" s="7">
        <v>0.10000000000000001</v>
      </c>
      <c r="D460" s="7">
        <v>1</v>
      </c>
      <c r="E460" s="7">
        <v>0</v>
      </c>
      <c r="F460" s="7">
        <v>628</v>
      </c>
      <c r="G460" s="7">
        <v>0.5</v>
      </c>
    </row>
    <row r="461" ht="15.75">
      <c r="A461" s="7" t="s">
        <v>488</v>
      </c>
      <c r="B461" s="7">
        <v>46</v>
      </c>
      <c r="C461" s="7">
        <v>0.10000000000000001</v>
      </c>
      <c r="D461" s="7">
        <v>2</v>
      </c>
      <c r="E461" s="7">
        <v>0</v>
      </c>
      <c r="F461" s="7">
        <v>630</v>
      </c>
      <c r="G461" s="7">
        <v>1.5</v>
      </c>
    </row>
    <row r="462" ht="15.75">
      <c r="A462" s="7" t="s">
        <v>489</v>
      </c>
      <c r="B462" s="7">
        <v>46.100000000000001</v>
      </c>
      <c r="C462" s="7">
        <v>0.10000000000000001</v>
      </c>
      <c r="D462" s="7">
        <v>2</v>
      </c>
      <c r="E462" s="7">
        <v>0</v>
      </c>
      <c r="F462" s="7">
        <v>631</v>
      </c>
      <c r="G462" s="7">
        <v>1.6000000000000001</v>
      </c>
    </row>
    <row r="463" ht="15.75">
      <c r="A463" s="7" t="s">
        <v>490</v>
      </c>
      <c r="B463" s="7">
        <v>46.200000000000003</v>
      </c>
      <c r="C463" s="7">
        <v>0.10000000000000001</v>
      </c>
      <c r="D463" s="7">
        <v>1</v>
      </c>
      <c r="E463" s="7">
        <v>0</v>
      </c>
      <c r="F463" s="7">
        <v>632</v>
      </c>
      <c r="G463" s="7">
        <v>0.59999999999999998</v>
      </c>
    </row>
    <row r="464" ht="15.75">
      <c r="A464" s="7" t="s">
        <v>491</v>
      </c>
      <c r="B464" s="7">
        <v>46.299999999999997</v>
      </c>
      <c r="C464" s="7">
        <v>0.10000000000000001</v>
      </c>
      <c r="D464" s="7">
        <v>2</v>
      </c>
      <c r="E464" s="7">
        <v>0</v>
      </c>
      <c r="F464" s="7">
        <v>634</v>
      </c>
      <c r="G464" s="7">
        <v>2.2999999999999998</v>
      </c>
    </row>
    <row r="465" ht="15.75">
      <c r="A465" s="7" t="s">
        <v>492</v>
      </c>
      <c r="B465" s="7">
        <v>46.399999999999999</v>
      </c>
      <c r="C465" s="7">
        <v>0.10000000000000001</v>
      </c>
      <c r="D465" s="7">
        <v>3</v>
      </c>
      <c r="E465" s="7">
        <v>0</v>
      </c>
      <c r="F465" s="7">
        <v>637</v>
      </c>
      <c r="G465" s="7">
        <v>2.5</v>
      </c>
    </row>
    <row r="466" ht="15.75">
      <c r="A466" s="7" t="s">
        <v>493</v>
      </c>
      <c r="B466" s="7">
        <v>46.5</v>
      </c>
      <c r="C466" s="7">
        <v>0.10000000000000001</v>
      </c>
      <c r="D466" s="7">
        <v>0</v>
      </c>
      <c r="E466" s="7">
        <v>0</v>
      </c>
      <c r="F466" s="7">
        <v>637</v>
      </c>
      <c r="G466" s="7">
        <v>0.20000000000000001</v>
      </c>
    </row>
    <row r="467" ht="15.75">
      <c r="A467" s="7" t="s">
        <v>494</v>
      </c>
      <c r="B467" s="7">
        <v>46.600000000000001</v>
      </c>
      <c r="C467" s="7">
        <v>0.10000000000000001</v>
      </c>
      <c r="D467" s="7">
        <v>0</v>
      </c>
      <c r="E467" s="7">
        <v>1</v>
      </c>
      <c r="F467" s="7">
        <v>636</v>
      </c>
      <c r="G467" s="7">
        <v>-1.2</v>
      </c>
    </row>
    <row r="468" ht="15.75">
      <c r="A468" s="7" t="s">
        <v>495</v>
      </c>
      <c r="B468" s="7">
        <v>46.700000000000003</v>
      </c>
      <c r="C468" s="7">
        <v>0.10000000000000001</v>
      </c>
      <c r="D468" s="7">
        <v>0</v>
      </c>
      <c r="E468" s="7">
        <v>3</v>
      </c>
      <c r="F468" s="7">
        <v>633</v>
      </c>
      <c r="G468" s="7">
        <v>-2.7999999999999998</v>
      </c>
    </row>
    <row r="469" ht="15.75">
      <c r="A469" s="7" t="s">
        <v>496</v>
      </c>
      <c r="B469" s="7">
        <v>46.799999999999997</v>
      </c>
      <c r="C469" s="7">
        <v>0.10000000000000001</v>
      </c>
      <c r="D469" s="7">
        <v>0</v>
      </c>
      <c r="E469" s="7">
        <v>3</v>
      </c>
      <c r="F469" s="7">
        <v>630</v>
      </c>
      <c r="G469" s="7">
        <v>-2.8999999999999999</v>
      </c>
    </row>
    <row r="470" ht="15.75">
      <c r="A470" s="7" t="s">
        <v>497</v>
      </c>
      <c r="B470" s="7">
        <v>46.899999999999999</v>
      </c>
      <c r="C470" s="7">
        <v>0.10000000000000001</v>
      </c>
      <c r="D470" s="7">
        <v>0</v>
      </c>
      <c r="E470" s="7">
        <v>2</v>
      </c>
      <c r="F470" s="7">
        <v>628</v>
      </c>
      <c r="G470" s="7">
        <v>-1.7</v>
      </c>
    </row>
    <row r="471" ht="15.75">
      <c r="A471" s="7" t="s">
        <v>498</v>
      </c>
      <c r="B471" s="7">
        <v>47</v>
      </c>
      <c r="C471" s="7">
        <v>0.10000000000000001</v>
      </c>
      <c r="D471" s="7">
        <v>0</v>
      </c>
      <c r="E471" s="7">
        <v>3</v>
      </c>
      <c r="F471" s="7">
        <v>625</v>
      </c>
      <c r="G471" s="7">
        <v>-3.3999999999999999</v>
      </c>
    </row>
    <row r="472" ht="15.75">
      <c r="A472" s="7" t="s">
        <v>499</v>
      </c>
      <c r="B472" s="7">
        <v>47.100000000000001</v>
      </c>
      <c r="C472" s="7">
        <v>0.10000000000000001</v>
      </c>
      <c r="D472" s="7">
        <v>0</v>
      </c>
      <c r="E472" s="7">
        <v>4</v>
      </c>
      <c r="F472" s="7">
        <v>621</v>
      </c>
      <c r="G472" s="7">
        <v>-3.6000000000000001</v>
      </c>
    </row>
    <row r="473" ht="15.75">
      <c r="A473" s="7" t="s">
        <v>500</v>
      </c>
      <c r="B473" s="7">
        <v>47.200000000000003</v>
      </c>
      <c r="C473" s="7">
        <v>0.10000000000000001</v>
      </c>
      <c r="D473" s="7">
        <v>0</v>
      </c>
      <c r="E473" s="7">
        <v>4</v>
      </c>
      <c r="F473" s="7">
        <v>618</v>
      </c>
      <c r="G473" s="7">
        <v>-3.6000000000000001</v>
      </c>
    </row>
    <row r="474" ht="15.75">
      <c r="A474" s="7" t="s">
        <v>501</v>
      </c>
      <c r="B474" s="7">
        <v>47.299999999999997</v>
      </c>
      <c r="C474" s="7">
        <v>0.10000000000000001</v>
      </c>
      <c r="D474" s="7">
        <v>0</v>
      </c>
      <c r="E474" s="7">
        <v>6</v>
      </c>
      <c r="F474" s="7">
        <v>612</v>
      </c>
      <c r="G474" s="7">
        <v>-5.7999999999999998</v>
      </c>
    </row>
    <row r="475" ht="15.75">
      <c r="A475" s="7" t="s">
        <v>502</v>
      </c>
      <c r="B475" s="7">
        <v>47.399999999999999</v>
      </c>
      <c r="C475" s="7">
        <v>0.10000000000000001</v>
      </c>
      <c r="D475" s="7">
        <v>0</v>
      </c>
      <c r="E475" s="7">
        <v>7</v>
      </c>
      <c r="F475" s="7">
        <v>605</v>
      </c>
      <c r="G475" s="7">
        <v>-6.5999999999999996</v>
      </c>
    </row>
    <row r="476" ht="15.75">
      <c r="A476" s="7" t="s">
        <v>503</v>
      </c>
      <c r="B476" s="7">
        <v>47.5</v>
      </c>
      <c r="C476" s="7">
        <v>0.10000000000000001</v>
      </c>
      <c r="D476" s="7">
        <v>0</v>
      </c>
      <c r="E476" s="7">
        <v>7</v>
      </c>
      <c r="F476" s="7">
        <v>599</v>
      </c>
      <c r="G476" s="7">
        <v>-6.5999999999999996</v>
      </c>
    </row>
    <row r="477" ht="15.75">
      <c r="A477" s="7" t="s">
        <v>504</v>
      </c>
      <c r="B477" s="7">
        <v>47.600000000000001</v>
      </c>
      <c r="C477" s="7">
        <v>0.10000000000000001</v>
      </c>
      <c r="D477" s="7">
        <v>0</v>
      </c>
      <c r="E477" s="7">
        <v>5</v>
      </c>
      <c r="F477" s="7">
        <v>593</v>
      </c>
      <c r="G477" s="7">
        <v>-5.2999999999999998</v>
      </c>
    </row>
    <row r="478" ht="15.75">
      <c r="A478" s="7" t="s">
        <v>505</v>
      </c>
      <c r="B478" s="7">
        <v>47.700000000000003</v>
      </c>
      <c r="C478" s="7">
        <v>0.10000000000000001</v>
      </c>
      <c r="D478" s="7">
        <v>0</v>
      </c>
      <c r="E478" s="7">
        <v>3</v>
      </c>
      <c r="F478" s="7">
        <v>590</v>
      </c>
      <c r="G478" s="7">
        <v>-3.5</v>
      </c>
    </row>
    <row r="479" ht="15.75">
      <c r="A479" s="7" t="s">
        <v>506</v>
      </c>
      <c r="B479" s="7">
        <v>47.799999999999997</v>
      </c>
      <c r="C479" s="7">
        <v>0.10000000000000001</v>
      </c>
      <c r="D479" s="7">
        <v>0</v>
      </c>
      <c r="E479" s="7">
        <v>2</v>
      </c>
      <c r="F479" s="7">
        <v>588</v>
      </c>
      <c r="G479" s="7">
        <v>-2</v>
      </c>
    </row>
    <row r="480" ht="15.75">
      <c r="A480" s="7" t="s">
        <v>507</v>
      </c>
      <c r="B480" s="7">
        <v>47.899999999999999</v>
      </c>
      <c r="C480" s="7">
        <v>0.10000000000000001</v>
      </c>
      <c r="D480" s="7">
        <v>3</v>
      </c>
      <c r="E480" s="7">
        <v>0</v>
      </c>
      <c r="F480" s="7">
        <v>590</v>
      </c>
      <c r="G480" s="7">
        <v>2.2999999999999998</v>
      </c>
    </row>
    <row r="481" ht="15.75">
      <c r="A481" s="7" t="s">
        <v>508</v>
      </c>
      <c r="B481" s="7">
        <v>48</v>
      </c>
      <c r="C481" s="7">
        <v>0.10000000000000001</v>
      </c>
      <c r="D481" s="7">
        <v>8</v>
      </c>
      <c r="E481" s="7">
        <v>0</v>
      </c>
      <c r="F481" s="7">
        <v>598</v>
      </c>
      <c r="G481" s="7">
        <v>8.0999999999999996</v>
      </c>
    </row>
    <row r="482" ht="15.75">
      <c r="A482" s="7" t="s">
        <v>509</v>
      </c>
      <c r="B482" s="7">
        <v>48.100000000000001</v>
      </c>
      <c r="C482" s="7">
        <v>0.10000000000000001</v>
      </c>
      <c r="D482" s="7">
        <v>10</v>
      </c>
      <c r="E482" s="7">
        <v>0</v>
      </c>
      <c r="F482" s="7">
        <v>609</v>
      </c>
      <c r="G482" s="7">
        <v>10.199999999999999</v>
      </c>
    </row>
    <row r="483" ht="15.75">
      <c r="A483" s="7" t="s">
        <v>510</v>
      </c>
      <c r="B483" s="7">
        <v>48.200000000000003</v>
      </c>
      <c r="C483" s="7">
        <v>0.10000000000000001</v>
      </c>
      <c r="D483" s="7">
        <v>7</v>
      </c>
      <c r="E483" s="7">
        <v>0</v>
      </c>
      <c r="F483" s="7">
        <v>615</v>
      </c>
      <c r="G483" s="7">
        <v>6.5999999999999996</v>
      </c>
    </row>
    <row r="484" ht="15.75">
      <c r="A484" s="7" t="s">
        <v>511</v>
      </c>
      <c r="B484" s="7">
        <v>48.299999999999997</v>
      </c>
      <c r="C484" s="7">
        <v>0.10000000000000001</v>
      </c>
      <c r="D484" s="7">
        <v>6</v>
      </c>
      <c r="E484" s="7">
        <v>0</v>
      </c>
      <c r="F484" s="7">
        <v>621</v>
      </c>
      <c r="G484" s="7">
        <v>5.7000000000000002</v>
      </c>
    </row>
    <row r="485" ht="15.75">
      <c r="A485" s="7" t="s">
        <v>512</v>
      </c>
      <c r="B485" s="7">
        <v>48.399999999999999</v>
      </c>
      <c r="C485" s="7">
        <v>0.10000000000000001</v>
      </c>
      <c r="D485" s="7">
        <v>2</v>
      </c>
      <c r="E485" s="7">
        <v>0</v>
      </c>
      <c r="F485" s="7">
        <v>623</v>
      </c>
      <c r="G485" s="7">
        <v>2.3999999999999999</v>
      </c>
    </row>
    <row r="486" ht="15.75">
      <c r="A486" s="7" t="s">
        <v>513</v>
      </c>
      <c r="B486" s="7">
        <v>48.5</v>
      </c>
      <c r="C486" s="7">
        <v>0.10000000000000001</v>
      </c>
      <c r="D486" s="7">
        <v>0</v>
      </c>
      <c r="E486" s="7">
        <v>4</v>
      </c>
      <c r="F486" s="7">
        <v>620</v>
      </c>
      <c r="G486" s="7">
        <v>-3.6000000000000001</v>
      </c>
    </row>
    <row r="487" ht="15.75">
      <c r="A487" s="7" t="s">
        <v>514</v>
      </c>
      <c r="B487" s="7">
        <v>48.600000000000001</v>
      </c>
      <c r="C487" s="7">
        <v>0.10000000000000001</v>
      </c>
      <c r="D487" s="7">
        <v>0</v>
      </c>
      <c r="E487" s="7">
        <v>3</v>
      </c>
      <c r="F487" s="7">
        <v>617</v>
      </c>
      <c r="G487" s="7">
        <v>-2.6000000000000001</v>
      </c>
    </row>
    <row r="488" ht="15.75">
      <c r="A488" s="7" t="s">
        <v>515</v>
      </c>
      <c r="B488" s="7">
        <v>48.700000000000003</v>
      </c>
      <c r="C488" s="7">
        <v>0.10000000000000001</v>
      </c>
      <c r="D488" s="7">
        <v>3</v>
      </c>
      <c r="E488" s="7">
        <v>0</v>
      </c>
      <c r="F488" s="7">
        <v>621</v>
      </c>
      <c r="G488" s="7">
        <v>3.3999999999999999</v>
      </c>
    </row>
    <row r="489" ht="15.75">
      <c r="A489" s="7" t="s">
        <v>516</v>
      </c>
      <c r="B489" s="7">
        <v>48.799999999999997</v>
      </c>
      <c r="C489" s="7">
        <v>0.10000000000000001</v>
      </c>
      <c r="D489" s="7">
        <v>3</v>
      </c>
      <c r="E489" s="7">
        <v>0</v>
      </c>
      <c r="F489" s="7">
        <v>624</v>
      </c>
      <c r="G489" s="7">
        <v>3.3999999999999999</v>
      </c>
    </row>
    <row r="490" ht="15.75">
      <c r="A490" s="7" t="s">
        <v>517</v>
      </c>
      <c r="B490" s="7">
        <v>48.899999999999999</v>
      </c>
      <c r="C490" s="7">
        <v>0.10000000000000001</v>
      </c>
      <c r="D490" s="7">
        <v>1</v>
      </c>
      <c r="E490" s="7">
        <v>1</v>
      </c>
      <c r="F490" s="7">
        <v>624</v>
      </c>
      <c r="G490" s="7">
        <v>0.10000000000000001</v>
      </c>
    </row>
    <row r="491" ht="15.75">
      <c r="A491" s="7" t="s">
        <v>518</v>
      </c>
      <c r="B491" s="7">
        <v>49</v>
      </c>
      <c r="C491" s="7">
        <v>0.10000000000000001</v>
      </c>
      <c r="D491" s="7">
        <v>0</v>
      </c>
      <c r="E491" s="7">
        <v>1</v>
      </c>
      <c r="F491" s="7">
        <v>623</v>
      </c>
      <c r="G491" s="7">
        <v>-1.2</v>
      </c>
    </row>
    <row r="492" ht="15.75">
      <c r="A492" s="7" t="s">
        <v>519</v>
      </c>
      <c r="B492" s="7">
        <v>49.100000000000001</v>
      </c>
      <c r="C492" s="7">
        <v>0.10000000000000001</v>
      </c>
      <c r="D492" s="7">
        <v>0</v>
      </c>
      <c r="E492" s="7">
        <v>1</v>
      </c>
      <c r="F492" s="7">
        <v>622</v>
      </c>
      <c r="G492" s="7">
        <v>-1</v>
      </c>
    </row>
    <row r="493" ht="15.75">
      <c r="A493" s="7" t="s">
        <v>520</v>
      </c>
      <c r="B493" s="7">
        <v>49.200000000000003</v>
      </c>
      <c r="C493" s="7">
        <v>0.10000000000000001</v>
      </c>
      <c r="D493" s="7">
        <v>0</v>
      </c>
      <c r="E493" s="7">
        <v>0</v>
      </c>
      <c r="F493" s="7">
        <v>622</v>
      </c>
      <c r="G493" s="7">
        <v>-0.40000000000000002</v>
      </c>
    </row>
    <row r="494" ht="15.75">
      <c r="A494" s="7" t="s">
        <v>521</v>
      </c>
      <c r="B494" s="7">
        <v>49.299999999999997</v>
      </c>
      <c r="C494" s="7">
        <v>0.10000000000000001</v>
      </c>
      <c r="D494" s="7">
        <v>0</v>
      </c>
      <c r="E494" s="7">
        <v>0</v>
      </c>
      <c r="F494" s="7">
        <v>621</v>
      </c>
      <c r="G494" s="7">
        <v>-0.20000000000000001</v>
      </c>
    </row>
    <row r="495" ht="15.75">
      <c r="A495" s="7" t="s">
        <v>522</v>
      </c>
      <c r="B495" s="7">
        <v>49.399999999999999</v>
      </c>
      <c r="C495" s="7">
        <v>0.10000000000000001</v>
      </c>
      <c r="D495" s="7">
        <v>0</v>
      </c>
      <c r="E495" s="7">
        <v>0</v>
      </c>
      <c r="F495" s="7">
        <v>621</v>
      </c>
      <c r="G495" s="7">
        <v>0</v>
      </c>
    </row>
    <row r="496" ht="15.75">
      <c r="A496" s="7" t="s">
        <v>523</v>
      </c>
      <c r="B496" s="7">
        <v>49.5</v>
      </c>
      <c r="C496" s="7">
        <v>0.10000000000000001</v>
      </c>
      <c r="D496" s="7">
        <v>5</v>
      </c>
      <c r="E496" s="7">
        <v>0</v>
      </c>
      <c r="F496" s="7">
        <v>626</v>
      </c>
      <c r="G496" s="7">
        <v>4.5999999999999996</v>
      </c>
    </row>
    <row r="497" ht="15.75">
      <c r="A497" s="7" t="s">
        <v>524</v>
      </c>
      <c r="B497" s="7">
        <v>49.600000000000001</v>
      </c>
      <c r="C497" s="7">
        <v>0.10000000000000001</v>
      </c>
      <c r="D497" s="7">
        <v>7</v>
      </c>
      <c r="E497" s="7">
        <v>0</v>
      </c>
      <c r="F497" s="7">
        <v>632</v>
      </c>
      <c r="G497" s="7">
        <v>6.5</v>
      </c>
    </row>
    <row r="498" ht="15.75">
      <c r="A498" s="7" t="s">
        <v>525</v>
      </c>
      <c r="B498" s="7">
        <v>49.700000000000003</v>
      </c>
      <c r="C498" s="7">
        <v>0.10000000000000001</v>
      </c>
      <c r="D498" s="7">
        <v>7</v>
      </c>
      <c r="E498" s="7">
        <v>0</v>
      </c>
      <c r="F498" s="7">
        <v>639</v>
      </c>
      <c r="G498" s="7">
        <v>6.4000000000000004</v>
      </c>
    </row>
    <row r="499" ht="15.75">
      <c r="A499" s="7" t="s">
        <v>526</v>
      </c>
      <c r="B499" s="7">
        <v>49.799999999999997</v>
      </c>
      <c r="C499" s="7">
        <v>0.10000000000000001</v>
      </c>
      <c r="D499" s="7">
        <v>0</v>
      </c>
      <c r="E499" s="7">
        <v>0</v>
      </c>
      <c r="F499" s="7">
        <v>638</v>
      </c>
      <c r="G499" s="7">
        <v>-0.40000000000000002</v>
      </c>
    </row>
    <row r="500" ht="15.75">
      <c r="A500" s="7" t="s">
        <v>527</v>
      </c>
      <c r="B500" s="7">
        <v>49.899999999999999</v>
      </c>
      <c r="C500" s="7">
        <v>0.10000000000000001</v>
      </c>
      <c r="D500" s="7">
        <v>0</v>
      </c>
      <c r="E500" s="7">
        <v>1</v>
      </c>
      <c r="F500" s="7">
        <v>637</v>
      </c>
      <c r="G500" s="7">
        <v>-1.5</v>
      </c>
    </row>
    <row r="501" ht="15.75">
      <c r="A501" s="7" t="s">
        <v>29</v>
      </c>
      <c r="B501" s="7">
        <v>50</v>
      </c>
      <c r="C501" s="7">
        <v>0.10000000000000001</v>
      </c>
      <c r="D501" s="7">
        <v>1</v>
      </c>
      <c r="E501" s="7">
        <v>0</v>
      </c>
      <c r="F501" s="7">
        <v>638</v>
      </c>
      <c r="G501" s="7">
        <v>1.3999999999999999</v>
      </c>
    </row>
    <row r="502" ht="15.75">
      <c r="A502" s="7" t="s">
        <v>528</v>
      </c>
      <c r="B502" s="7">
        <v>50.100000000000001</v>
      </c>
      <c r="C502" s="7">
        <v>0.10000000000000001</v>
      </c>
      <c r="D502" s="7">
        <v>4</v>
      </c>
      <c r="E502" s="7">
        <v>0</v>
      </c>
      <c r="F502" s="7">
        <v>642</v>
      </c>
      <c r="G502" s="7">
        <v>3.5</v>
      </c>
    </row>
    <row r="503" ht="15.75">
      <c r="A503" s="7" t="s">
        <v>529</v>
      </c>
      <c r="B503" s="7">
        <v>50.200000000000003</v>
      </c>
      <c r="C503" s="7">
        <v>0.10000000000000001</v>
      </c>
      <c r="D503" s="7">
        <v>3</v>
      </c>
      <c r="E503" s="7">
        <v>0</v>
      </c>
      <c r="F503" s="7">
        <v>645</v>
      </c>
      <c r="G503" s="7">
        <v>3.2999999999999998</v>
      </c>
    </row>
    <row r="504" ht="15.75">
      <c r="A504" s="7" t="s">
        <v>530</v>
      </c>
      <c r="B504" s="7">
        <v>50.299999999999997</v>
      </c>
      <c r="C504" s="7">
        <v>0.10000000000000001</v>
      </c>
      <c r="D504" s="7">
        <v>2</v>
      </c>
      <c r="E504" s="7">
        <v>0</v>
      </c>
      <c r="F504" s="7">
        <v>647</v>
      </c>
      <c r="G504" s="7">
        <v>2.2999999999999998</v>
      </c>
    </row>
    <row r="505" ht="15.75">
      <c r="A505" s="7" t="s">
        <v>531</v>
      </c>
      <c r="B505" s="7">
        <v>50.399999999999999</v>
      </c>
      <c r="C505" s="7">
        <v>0.10000000000000001</v>
      </c>
      <c r="D505" s="7">
        <v>1</v>
      </c>
      <c r="E505" s="7">
        <v>0</v>
      </c>
      <c r="F505" s="7">
        <v>649</v>
      </c>
      <c r="G505" s="7">
        <v>1.1000000000000001</v>
      </c>
    </row>
    <row r="506" ht="15.75">
      <c r="A506" s="7" t="s">
        <v>532</v>
      </c>
      <c r="B506" s="7">
        <v>50.5</v>
      </c>
      <c r="C506" s="7">
        <v>0.10000000000000001</v>
      </c>
      <c r="D506" s="7">
        <v>0</v>
      </c>
      <c r="E506" s="7">
        <v>0</v>
      </c>
      <c r="F506" s="7">
        <v>649</v>
      </c>
      <c r="G506" s="7">
        <v>0.5</v>
      </c>
    </row>
    <row r="507" ht="15.75">
      <c r="A507" s="7" t="s">
        <v>533</v>
      </c>
      <c r="B507" s="7">
        <v>50.600000000000001</v>
      </c>
      <c r="C507" s="7">
        <v>0.10000000000000001</v>
      </c>
      <c r="D507" s="7">
        <v>0</v>
      </c>
      <c r="E507" s="7">
        <v>0</v>
      </c>
      <c r="F507" s="7">
        <v>649</v>
      </c>
      <c r="G507" s="7">
        <v>0</v>
      </c>
    </row>
    <row r="508" ht="15.75">
      <c r="A508" s="7" t="s">
        <v>534</v>
      </c>
      <c r="B508" s="7">
        <v>50.700000000000003</v>
      </c>
      <c r="C508" s="7">
        <v>0.10000000000000001</v>
      </c>
      <c r="D508" s="7">
        <v>1</v>
      </c>
      <c r="E508" s="7">
        <v>0</v>
      </c>
      <c r="F508" s="7">
        <v>650</v>
      </c>
      <c r="G508" s="7">
        <v>0.59999999999999998</v>
      </c>
    </row>
    <row r="509" ht="15.75">
      <c r="A509" s="7" t="s">
        <v>535</v>
      </c>
      <c r="B509" s="7">
        <v>50.799999999999997</v>
      </c>
      <c r="C509" s="7">
        <v>0.10000000000000001</v>
      </c>
      <c r="D509" s="7">
        <v>2</v>
      </c>
      <c r="E509" s="7">
        <v>0</v>
      </c>
      <c r="F509" s="7">
        <v>651</v>
      </c>
      <c r="G509" s="7">
        <v>1.8</v>
      </c>
    </row>
    <row r="510" ht="15.75">
      <c r="A510" s="7" t="s">
        <v>536</v>
      </c>
      <c r="B510" s="7">
        <v>50.899999999999999</v>
      </c>
      <c r="C510" s="7">
        <v>0.10000000000000001</v>
      </c>
      <c r="D510" s="7">
        <v>4</v>
      </c>
      <c r="E510" s="7">
        <v>0</v>
      </c>
      <c r="F510" s="7">
        <v>656</v>
      </c>
      <c r="G510" s="7">
        <v>4.2000000000000002</v>
      </c>
    </row>
    <row r="511" ht="15.75">
      <c r="A511" s="7" t="s">
        <v>537</v>
      </c>
      <c r="B511" s="7">
        <v>51</v>
      </c>
      <c r="C511" s="7">
        <v>0.10000000000000001</v>
      </c>
      <c r="D511" s="7">
        <v>0</v>
      </c>
      <c r="E511" s="7">
        <v>4</v>
      </c>
      <c r="F511" s="7">
        <v>653</v>
      </c>
      <c r="G511" s="7">
        <v>-3</v>
      </c>
    </row>
    <row r="512" ht="15.75">
      <c r="A512" s="7" t="s">
        <v>538</v>
      </c>
      <c r="B512" s="7">
        <v>51.100000000000001</v>
      </c>
      <c r="C512" s="7">
        <v>0.10000000000000001</v>
      </c>
      <c r="D512" s="7">
        <v>0</v>
      </c>
      <c r="E512" s="7">
        <v>5</v>
      </c>
      <c r="F512" s="7">
        <v>648</v>
      </c>
      <c r="G512" s="7">
        <v>-4.9000000000000004</v>
      </c>
    </row>
    <row r="513" ht="15.75">
      <c r="A513" s="7" t="s">
        <v>539</v>
      </c>
      <c r="B513" s="7">
        <v>51.200000000000003</v>
      </c>
      <c r="C513" s="7">
        <v>0.10000000000000001</v>
      </c>
      <c r="D513" s="7">
        <v>7</v>
      </c>
      <c r="E513" s="7">
        <v>0</v>
      </c>
      <c r="F513" s="7">
        <v>655</v>
      </c>
      <c r="G513" s="7">
        <v>7.4000000000000004</v>
      </c>
    </row>
    <row r="514" ht="15.75">
      <c r="A514" s="7" t="s">
        <v>540</v>
      </c>
      <c r="B514" s="7">
        <v>51.299999999999997</v>
      </c>
      <c r="C514" s="7">
        <v>0.10000000000000001</v>
      </c>
      <c r="D514" s="7">
        <v>4</v>
      </c>
      <c r="E514" s="7">
        <v>0</v>
      </c>
      <c r="F514" s="7">
        <v>659</v>
      </c>
      <c r="G514" s="7">
        <v>4.2000000000000002</v>
      </c>
    </row>
    <row r="515" ht="15.75">
      <c r="A515" s="7" t="s">
        <v>541</v>
      </c>
      <c r="B515" s="7">
        <v>51.399999999999999</v>
      </c>
      <c r="C515" s="7">
        <v>0.10000000000000001</v>
      </c>
      <c r="D515" s="7">
        <v>3</v>
      </c>
      <c r="E515" s="7">
        <v>0</v>
      </c>
      <c r="F515" s="7">
        <v>662</v>
      </c>
      <c r="G515" s="7">
        <v>2.7000000000000002</v>
      </c>
    </row>
    <row r="516" ht="15.75">
      <c r="A516" s="7" t="s">
        <v>542</v>
      </c>
      <c r="B516" s="7">
        <v>51.5</v>
      </c>
      <c r="C516" s="7">
        <v>0.10000000000000001</v>
      </c>
      <c r="D516" s="7">
        <v>1</v>
      </c>
      <c r="E516" s="7">
        <v>0</v>
      </c>
      <c r="F516" s="7">
        <v>663</v>
      </c>
      <c r="G516" s="7">
        <v>0.80000000000000004</v>
      </c>
    </row>
    <row r="517" ht="15.75">
      <c r="A517" s="7" t="s">
        <v>543</v>
      </c>
      <c r="B517" s="7">
        <v>51.600000000000001</v>
      </c>
      <c r="C517" s="7">
        <v>0.10000000000000001</v>
      </c>
      <c r="D517" s="7">
        <v>0</v>
      </c>
      <c r="E517" s="7">
        <v>1</v>
      </c>
      <c r="F517" s="7">
        <v>662</v>
      </c>
      <c r="G517" s="7">
        <v>-0.40000000000000002</v>
      </c>
    </row>
    <row r="518" ht="15.75">
      <c r="A518" s="7" t="s">
        <v>544</v>
      </c>
      <c r="B518" s="7">
        <v>51.700000000000003</v>
      </c>
      <c r="C518" s="7">
        <v>0.10000000000000001</v>
      </c>
      <c r="D518" s="7">
        <v>0</v>
      </c>
      <c r="E518" s="7">
        <v>1</v>
      </c>
      <c r="F518" s="7">
        <v>662</v>
      </c>
      <c r="G518" s="7">
        <v>-0.90000000000000002</v>
      </c>
    </row>
    <row r="519" ht="15.75">
      <c r="A519" s="7" t="s">
        <v>545</v>
      </c>
      <c r="B519" s="7">
        <v>51.799999999999997</v>
      </c>
      <c r="C519" s="7">
        <v>0.10000000000000001</v>
      </c>
      <c r="D519" s="7">
        <v>0</v>
      </c>
      <c r="E519" s="7">
        <v>1</v>
      </c>
      <c r="F519" s="7">
        <v>660</v>
      </c>
      <c r="G519" s="7">
        <v>-1.3</v>
      </c>
    </row>
    <row r="520" ht="15.75">
      <c r="A520" s="7" t="s">
        <v>546</v>
      </c>
      <c r="B520" s="7">
        <v>51.899999999999999</v>
      </c>
      <c r="C520" s="7">
        <v>0.10000000000000001</v>
      </c>
      <c r="D520" s="7">
        <v>0</v>
      </c>
      <c r="E520" s="7">
        <v>2</v>
      </c>
      <c r="F520" s="7">
        <v>658</v>
      </c>
      <c r="G520" s="7">
        <v>-2</v>
      </c>
    </row>
    <row r="521" ht="15.75">
      <c r="A521" s="7" t="s">
        <v>547</v>
      </c>
      <c r="B521" s="7">
        <v>52</v>
      </c>
      <c r="C521" s="7">
        <v>0.10000000000000001</v>
      </c>
      <c r="D521" s="7">
        <v>0</v>
      </c>
      <c r="E521" s="7">
        <v>3</v>
      </c>
      <c r="F521" s="7">
        <v>655</v>
      </c>
      <c r="G521" s="7">
        <v>-3</v>
      </c>
    </row>
    <row r="522" ht="15.75">
      <c r="A522" s="7" t="s">
        <v>548</v>
      </c>
      <c r="B522" s="7">
        <v>52.100000000000001</v>
      </c>
      <c r="C522" s="7">
        <v>0.10000000000000001</v>
      </c>
      <c r="D522" s="7">
        <v>0</v>
      </c>
      <c r="E522" s="7">
        <v>4</v>
      </c>
      <c r="F522" s="7">
        <v>651</v>
      </c>
      <c r="G522" s="7">
        <v>-4.0999999999999996</v>
      </c>
    </row>
    <row r="523" ht="15.75">
      <c r="A523" s="7" t="s">
        <v>549</v>
      </c>
      <c r="B523" s="7">
        <v>52.200000000000003</v>
      </c>
      <c r="C523" s="7">
        <v>0.10000000000000001</v>
      </c>
      <c r="D523" s="7">
        <v>0</v>
      </c>
      <c r="E523" s="7">
        <v>3</v>
      </c>
      <c r="F523" s="7">
        <v>648</v>
      </c>
      <c r="G523" s="7">
        <v>-3.3999999999999999</v>
      </c>
    </row>
    <row r="524" ht="15.75">
      <c r="A524" s="7" t="s">
        <v>550</v>
      </c>
      <c r="B524" s="7">
        <v>52.299999999999997</v>
      </c>
      <c r="C524" s="7">
        <v>0.10000000000000001</v>
      </c>
      <c r="D524" s="7">
        <v>1</v>
      </c>
      <c r="E524" s="7">
        <v>1</v>
      </c>
      <c r="F524" s="7">
        <v>648</v>
      </c>
      <c r="G524" s="7">
        <v>0.10000000000000001</v>
      </c>
    </row>
    <row r="525" ht="15.75">
      <c r="A525" s="7" t="s">
        <v>551</v>
      </c>
      <c r="B525" s="7">
        <v>52.399999999999999</v>
      </c>
      <c r="C525" s="7">
        <v>0.10000000000000001</v>
      </c>
      <c r="D525" s="7">
        <v>5</v>
      </c>
      <c r="E525" s="7">
        <v>0</v>
      </c>
      <c r="F525" s="7">
        <v>652</v>
      </c>
      <c r="G525" s="7">
        <v>4.5999999999999996</v>
      </c>
    </row>
    <row r="526" ht="15.75">
      <c r="A526" s="7" t="s">
        <v>552</v>
      </c>
      <c r="B526" s="7">
        <v>52.5</v>
      </c>
      <c r="C526" s="7">
        <v>0.10000000000000001</v>
      </c>
      <c r="D526" s="7">
        <v>1</v>
      </c>
      <c r="E526" s="7">
        <v>2</v>
      </c>
      <c r="F526" s="7">
        <v>652</v>
      </c>
      <c r="G526" s="7">
        <v>-0.5</v>
      </c>
    </row>
    <row r="527" ht="15.75">
      <c r="A527" s="7" t="s">
        <v>553</v>
      </c>
      <c r="B527" s="7">
        <v>52.600000000000001</v>
      </c>
      <c r="C527" s="7">
        <v>0.10000000000000001</v>
      </c>
      <c r="D527" s="7">
        <v>0</v>
      </c>
      <c r="E527" s="7">
        <v>3</v>
      </c>
      <c r="F527" s="7">
        <v>649</v>
      </c>
      <c r="G527" s="7">
        <v>-3.1000000000000001</v>
      </c>
    </row>
    <row r="528" ht="15.75">
      <c r="A528" s="7" t="s">
        <v>554</v>
      </c>
      <c r="B528" s="7">
        <v>52.700000000000003</v>
      </c>
      <c r="C528" s="7">
        <v>0.10000000000000001</v>
      </c>
      <c r="D528" s="7">
        <v>0</v>
      </c>
      <c r="E528" s="7">
        <v>0</v>
      </c>
      <c r="F528" s="7">
        <v>648</v>
      </c>
      <c r="G528" s="7">
        <v>-0.40000000000000002</v>
      </c>
    </row>
    <row r="529" ht="15.75">
      <c r="A529" s="7" t="s">
        <v>555</v>
      </c>
      <c r="B529" s="7">
        <v>52.799999999999997</v>
      </c>
      <c r="C529" s="7">
        <v>0.10000000000000001</v>
      </c>
      <c r="D529" s="7">
        <v>0</v>
      </c>
      <c r="E529" s="7">
        <v>2</v>
      </c>
      <c r="F529" s="7">
        <v>646</v>
      </c>
      <c r="G529" s="7">
        <v>-2.2000000000000002</v>
      </c>
    </row>
    <row r="530" ht="15.75">
      <c r="A530" s="7" t="s">
        <v>556</v>
      </c>
      <c r="B530" s="7">
        <v>52.899999999999999</v>
      </c>
      <c r="C530" s="7">
        <v>0.10000000000000001</v>
      </c>
      <c r="D530" s="7">
        <v>0</v>
      </c>
      <c r="E530" s="7">
        <v>4</v>
      </c>
      <c r="F530" s="7">
        <v>642</v>
      </c>
      <c r="G530" s="7">
        <v>-3.7999999999999998</v>
      </c>
    </row>
    <row r="531" ht="15.75">
      <c r="A531" s="7" t="s">
        <v>557</v>
      </c>
      <c r="B531" s="7">
        <v>53</v>
      </c>
      <c r="C531" s="7">
        <v>0.10000000000000001</v>
      </c>
      <c r="D531" s="7">
        <v>0</v>
      </c>
      <c r="E531" s="7">
        <v>5</v>
      </c>
      <c r="F531" s="7">
        <v>637</v>
      </c>
      <c r="G531" s="7">
        <v>-5.2000000000000002</v>
      </c>
    </row>
    <row r="532" ht="15.75">
      <c r="A532" s="7" t="s">
        <v>558</v>
      </c>
      <c r="B532" s="7">
        <v>53.100000000000001</v>
      </c>
      <c r="C532" s="7">
        <v>0.10000000000000001</v>
      </c>
      <c r="D532" s="7">
        <v>0</v>
      </c>
      <c r="E532" s="7">
        <v>1</v>
      </c>
      <c r="F532" s="7">
        <v>636</v>
      </c>
      <c r="G532" s="7">
        <v>-1.2</v>
      </c>
    </row>
    <row r="533" ht="15.75">
      <c r="A533" s="7" t="s">
        <v>559</v>
      </c>
      <c r="B533" s="7">
        <v>53.200000000000003</v>
      </c>
      <c r="C533" s="7">
        <v>0.10000000000000001</v>
      </c>
      <c r="D533" s="7">
        <v>0</v>
      </c>
      <c r="E533" s="7">
        <v>2</v>
      </c>
      <c r="F533" s="7">
        <v>634</v>
      </c>
      <c r="G533" s="7">
        <v>-1.7</v>
      </c>
    </row>
    <row r="534" ht="15.75">
      <c r="A534" s="7" t="s">
        <v>560</v>
      </c>
      <c r="B534" s="7">
        <v>53.299999999999997</v>
      </c>
      <c r="C534" s="7">
        <v>0.10000000000000001</v>
      </c>
      <c r="D534" s="7">
        <v>0</v>
      </c>
      <c r="E534" s="7">
        <v>3</v>
      </c>
      <c r="F534" s="7">
        <v>631</v>
      </c>
      <c r="G534" s="7">
        <v>-3.1000000000000001</v>
      </c>
    </row>
    <row r="535" ht="15.75">
      <c r="A535" s="7" t="s">
        <v>561</v>
      </c>
      <c r="B535" s="7">
        <v>53.399999999999999</v>
      </c>
      <c r="C535" s="7">
        <v>0.10000000000000001</v>
      </c>
      <c r="D535" s="7">
        <v>0</v>
      </c>
      <c r="E535" s="7">
        <v>2</v>
      </c>
      <c r="F535" s="7">
        <v>630</v>
      </c>
      <c r="G535" s="7">
        <v>-1.6000000000000001</v>
      </c>
    </row>
    <row r="536" ht="15.75">
      <c r="A536" s="7" t="s">
        <v>562</v>
      </c>
      <c r="B536" s="7">
        <v>53.5</v>
      </c>
      <c r="C536" s="7">
        <v>0.10000000000000001</v>
      </c>
      <c r="D536" s="7">
        <v>3</v>
      </c>
      <c r="E536" s="7">
        <v>0</v>
      </c>
      <c r="F536" s="7">
        <v>632</v>
      </c>
      <c r="G536" s="7">
        <v>2.5</v>
      </c>
    </row>
    <row r="537" ht="15.75">
      <c r="A537" s="7" t="s">
        <v>563</v>
      </c>
      <c r="B537" s="7">
        <v>53.600000000000001</v>
      </c>
      <c r="C537" s="7">
        <v>0.10000000000000001</v>
      </c>
      <c r="D537" s="7">
        <v>1</v>
      </c>
      <c r="E537" s="7">
        <v>0</v>
      </c>
      <c r="F537" s="7">
        <v>633</v>
      </c>
      <c r="G537" s="7">
        <v>1.2</v>
      </c>
    </row>
    <row r="538" ht="15.75">
      <c r="A538" s="7" t="s">
        <v>564</v>
      </c>
      <c r="B538" s="7">
        <v>53.700000000000003</v>
      </c>
      <c r="C538" s="7">
        <v>0.10000000000000001</v>
      </c>
      <c r="D538" s="7">
        <v>5</v>
      </c>
      <c r="E538" s="7">
        <v>0</v>
      </c>
      <c r="F538" s="7">
        <v>638</v>
      </c>
      <c r="G538" s="7">
        <v>4.7000000000000002</v>
      </c>
    </row>
    <row r="539" ht="15.75">
      <c r="A539" s="7" t="s">
        <v>565</v>
      </c>
      <c r="B539" s="7">
        <v>53.799999999999997</v>
      </c>
      <c r="C539" s="7">
        <v>0.10000000000000001</v>
      </c>
      <c r="D539" s="7">
        <v>4</v>
      </c>
      <c r="E539" s="7">
        <v>0</v>
      </c>
      <c r="F539" s="7">
        <v>642</v>
      </c>
      <c r="G539" s="7">
        <v>3.7000000000000002</v>
      </c>
    </row>
    <row r="540" ht="15.75">
      <c r="A540" s="7" t="s">
        <v>566</v>
      </c>
      <c r="B540" s="7">
        <v>53.899999999999999</v>
      </c>
      <c r="C540" s="7">
        <v>0.10000000000000001</v>
      </c>
      <c r="D540" s="7">
        <v>2</v>
      </c>
      <c r="E540" s="7">
        <v>0</v>
      </c>
      <c r="F540" s="7">
        <v>643</v>
      </c>
      <c r="G540" s="7">
        <v>1.6000000000000001</v>
      </c>
    </row>
    <row r="541" ht="15.75">
      <c r="A541" s="7" t="s">
        <v>567</v>
      </c>
      <c r="B541" s="7">
        <v>54</v>
      </c>
      <c r="C541" s="7">
        <v>0.10000000000000001</v>
      </c>
      <c r="D541" s="7">
        <v>0</v>
      </c>
      <c r="E541" s="7">
        <v>3</v>
      </c>
      <c r="F541" s="7">
        <v>640</v>
      </c>
      <c r="G541" s="7">
        <v>-2.8999999999999999</v>
      </c>
    </row>
    <row r="542" ht="15.75">
      <c r="A542" s="7" t="s">
        <v>568</v>
      </c>
      <c r="B542" s="7">
        <v>54.100000000000001</v>
      </c>
      <c r="C542" s="7">
        <v>0.10000000000000001</v>
      </c>
      <c r="D542" s="7">
        <v>0</v>
      </c>
      <c r="E542" s="7">
        <v>7</v>
      </c>
      <c r="F542" s="7">
        <v>633</v>
      </c>
      <c r="G542" s="7">
        <v>-7.4000000000000004</v>
      </c>
    </row>
    <row r="543" ht="15.75">
      <c r="A543" s="7" t="s">
        <v>569</v>
      </c>
      <c r="B543" s="7">
        <v>54.200000000000003</v>
      </c>
      <c r="C543" s="7">
        <v>0.10000000000000001</v>
      </c>
      <c r="D543" s="7">
        <v>0</v>
      </c>
      <c r="E543" s="7">
        <v>9</v>
      </c>
      <c r="F543" s="7">
        <v>624</v>
      </c>
      <c r="G543" s="7">
        <v>-9</v>
      </c>
    </row>
    <row r="544" ht="15.75">
      <c r="A544" s="7" t="s">
        <v>570</v>
      </c>
      <c r="B544" s="7">
        <v>54.299999999999997</v>
      </c>
      <c r="C544" s="7">
        <v>0.10000000000000001</v>
      </c>
      <c r="D544" s="7">
        <v>0</v>
      </c>
      <c r="E544" s="7">
        <v>5</v>
      </c>
      <c r="F544" s="7">
        <v>619</v>
      </c>
      <c r="G544" s="7">
        <v>-5.5</v>
      </c>
    </row>
    <row r="545" ht="15.75">
      <c r="A545" s="7" t="s">
        <v>571</v>
      </c>
      <c r="B545" s="7">
        <v>54.399999999999999</v>
      </c>
      <c r="C545" s="7">
        <v>0.10000000000000001</v>
      </c>
      <c r="D545" s="7">
        <v>0</v>
      </c>
      <c r="E545" s="7">
        <v>4</v>
      </c>
      <c r="F545" s="7">
        <v>614</v>
      </c>
      <c r="G545" s="7">
        <v>-4.2000000000000002</v>
      </c>
    </row>
    <row r="546" ht="15.75">
      <c r="A546" s="7" t="s">
        <v>572</v>
      </c>
      <c r="B546" s="7">
        <v>54.5</v>
      </c>
      <c r="C546" s="7">
        <v>0.10000000000000001</v>
      </c>
      <c r="D546" s="7">
        <v>1</v>
      </c>
      <c r="E546" s="7">
        <v>1</v>
      </c>
      <c r="F546" s="7">
        <v>615</v>
      </c>
      <c r="G546" s="7">
        <v>0.20000000000000001</v>
      </c>
    </row>
    <row r="547" ht="15.75">
      <c r="A547" s="7" t="s">
        <v>573</v>
      </c>
      <c r="B547" s="7">
        <v>54.600000000000001</v>
      </c>
      <c r="C547" s="7">
        <v>0.10000000000000001</v>
      </c>
      <c r="D547" s="7">
        <v>1</v>
      </c>
      <c r="E547" s="7">
        <v>0</v>
      </c>
      <c r="F547" s="7">
        <v>616</v>
      </c>
      <c r="G547" s="7">
        <v>1.1000000000000001</v>
      </c>
    </row>
    <row r="548" ht="15.75">
      <c r="A548" s="7" t="s">
        <v>574</v>
      </c>
      <c r="B548" s="7">
        <v>54.700000000000003</v>
      </c>
      <c r="C548" s="7">
        <v>0.10000000000000001</v>
      </c>
      <c r="D548" s="7">
        <v>4</v>
      </c>
      <c r="E548" s="7">
        <v>0</v>
      </c>
      <c r="F548" s="7">
        <v>620</v>
      </c>
      <c r="G548" s="7">
        <v>4.0999999999999996</v>
      </c>
    </row>
    <row r="549" ht="15.75">
      <c r="A549" s="7" t="s">
        <v>575</v>
      </c>
      <c r="B549" s="7">
        <v>54.799999999999997</v>
      </c>
      <c r="C549" s="7">
        <v>0.10000000000000001</v>
      </c>
      <c r="D549" s="7">
        <v>7</v>
      </c>
      <c r="E549" s="7">
        <v>0</v>
      </c>
      <c r="F549" s="7">
        <v>627</v>
      </c>
      <c r="G549" s="7">
        <v>6.7999999999999998</v>
      </c>
    </row>
    <row r="550" ht="15.75">
      <c r="A550" s="7" t="s">
        <v>576</v>
      </c>
      <c r="B550" s="7">
        <v>54.899999999999999</v>
      </c>
      <c r="C550" s="7">
        <v>0.10000000000000001</v>
      </c>
      <c r="D550" s="7">
        <v>8</v>
      </c>
      <c r="E550" s="7">
        <v>0</v>
      </c>
      <c r="F550" s="7">
        <v>634</v>
      </c>
      <c r="G550" s="7">
        <v>7.7999999999999998</v>
      </c>
    </row>
    <row r="551" ht="15.75">
      <c r="A551" s="7" t="s">
        <v>31</v>
      </c>
      <c r="B551" s="7">
        <v>55</v>
      </c>
      <c r="C551" s="7">
        <v>0.10000000000000001</v>
      </c>
      <c r="D551" s="7">
        <v>8</v>
      </c>
      <c r="E551" s="7">
        <v>0</v>
      </c>
      <c r="F551" s="7">
        <v>642</v>
      </c>
      <c r="G551" s="7">
        <v>8.0999999999999996</v>
      </c>
    </row>
    <row r="552" ht="15.75">
      <c r="A552" s="7" t="s">
        <v>577</v>
      </c>
      <c r="B552" s="7">
        <v>55.100000000000001</v>
      </c>
      <c r="C552" s="7">
        <v>0.10000000000000001</v>
      </c>
      <c r="D552" s="7">
        <v>10</v>
      </c>
      <c r="E552" s="7">
        <v>0</v>
      </c>
      <c r="F552" s="7">
        <v>652</v>
      </c>
      <c r="G552" s="7">
        <v>9.5</v>
      </c>
    </row>
    <row r="553" ht="15.75">
      <c r="A553" s="7" t="s">
        <v>578</v>
      </c>
      <c r="B553" s="7">
        <v>55.200000000000003</v>
      </c>
      <c r="C553" s="7">
        <v>0.10000000000000001</v>
      </c>
      <c r="D553" s="7">
        <v>9</v>
      </c>
      <c r="E553" s="7">
        <v>0</v>
      </c>
      <c r="F553" s="7">
        <v>661</v>
      </c>
      <c r="G553" s="7">
        <v>8.9000000000000004</v>
      </c>
    </row>
    <row r="554" ht="15.75">
      <c r="A554" s="7" t="s">
        <v>579</v>
      </c>
      <c r="B554" s="7">
        <v>55.299999999999997</v>
      </c>
      <c r="C554" s="7">
        <v>0.10000000000000001</v>
      </c>
      <c r="D554" s="7">
        <v>7</v>
      </c>
      <c r="E554" s="7">
        <v>0</v>
      </c>
      <c r="F554" s="7">
        <v>668</v>
      </c>
      <c r="G554" s="7">
        <v>7.0999999999999996</v>
      </c>
    </row>
    <row r="555" ht="15.75">
      <c r="A555" s="7" t="s">
        <v>580</v>
      </c>
      <c r="B555" s="7">
        <v>55.399999999999999</v>
      </c>
      <c r="C555" s="7">
        <v>0.10000000000000001</v>
      </c>
      <c r="D555" s="7">
        <v>6</v>
      </c>
      <c r="E555" s="7">
        <v>0</v>
      </c>
      <c r="F555" s="7">
        <v>674</v>
      </c>
      <c r="G555" s="7">
        <v>5.5999999999999996</v>
      </c>
    </row>
    <row r="556" ht="15.75">
      <c r="A556" s="7" t="s">
        <v>581</v>
      </c>
      <c r="B556" s="7">
        <v>55.5</v>
      </c>
      <c r="C556" s="7">
        <v>0.10000000000000001</v>
      </c>
      <c r="D556" s="7">
        <v>4</v>
      </c>
      <c r="E556" s="7">
        <v>0</v>
      </c>
      <c r="F556" s="7">
        <v>678</v>
      </c>
      <c r="G556" s="7">
        <v>4</v>
      </c>
    </row>
    <row r="557" ht="15.75">
      <c r="A557" s="7" t="s">
        <v>582</v>
      </c>
      <c r="B557" s="7">
        <v>55.600000000000001</v>
      </c>
      <c r="C557" s="7">
        <v>0.10000000000000001</v>
      </c>
      <c r="D557" s="7">
        <v>2</v>
      </c>
      <c r="E557" s="7">
        <v>0</v>
      </c>
      <c r="F557" s="7">
        <v>679</v>
      </c>
      <c r="G557" s="7">
        <v>1.7</v>
      </c>
    </row>
    <row r="558" ht="15.75">
      <c r="A558" s="7" t="s">
        <v>583</v>
      </c>
      <c r="B558" s="7">
        <v>55.700000000000003</v>
      </c>
      <c r="C558" s="7">
        <v>0.10000000000000001</v>
      </c>
      <c r="D558" s="7">
        <v>0</v>
      </c>
      <c r="E558" s="7">
        <v>1</v>
      </c>
      <c r="F558" s="7">
        <v>679</v>
      </c>
      <c r="G558" s="7">
        <v>-0.59999999999999998</v>
      </c>
    </row>
    <row r="559" ht="15.75">
      <c r="A559" s="7" t="s">
        <v>584</v>
      </c>
      <c r="B559" s="7">
        <v>55.799999999999997</v>
      </c>
      <c r="C559" s="7">
        <v>0.10000000000000001</v>
      </c>
      <c r="D559" s="7">
        <v>0</v>
      </c>
      <c r="E559" s="7">
        <v>2</v>
      </c>
      <c r="F559" s="7">
        <v>677</v>
      </c>
      <c r="G559" s="7">
        <v>-2.2000000000000002</v>
      </c>
    </row>
    <row r="560" ht="15.75">
      <c r="A560" s="7" t="s">
        <v>585</v>
      </c>
      <c r="B560" s="7">
        <v>55.899999999999999</v>
      </c>
      <c r="C560" s="7">
        <v>0.10000000000000001</v>
      </c>
      <c r="D560" s="7">
        <v>0</v>
      </c>
      <c r="E560" s="7">
        <v>4</v>
      </c>
      <c r="F560" s="7">
        <v>672</v>
      </c>
      <c r="G560" s="7">
        <v>-4.0999999999999996</v>
      </c>
    </row>
    <row r="561" ht="15.75">
      <c r="A561" s="7" t="s">
        <v>586</v>
      </c>
      <c r="B561" s="7">
        <v>56</v>
      </c>
      <c r="C561" s="7">
        <v>0.10000000000000001</v>
      </c>
      <c r="D561" s="7">
        <v>0</v>
      </c>
      <c r="E561" s="7">
        <v>6</v>
      </c>
      <c r="F561" s="7">
        <v>666</v>
      </c>
      <c r="G561" s="7">
        <v>-6.5</v>
      </c>
    </row>
    <row r="562" ht="15.75">
      <c r="A562" s="7" t="s">
        <v>587</v>
      </c>
      <c r="B562" s="7">
        <v>56.100000000000001</v>
      </c>
      <c r="C562" s="7">
        <v>0.10000000000000001</v>
      </c>
      <c r="D562" s="7">
        <v>0</v>
      </c>
      <c r="E562" s="7">
        <v>8</v>
      </c>
      <c r="F562" s="7">
        <v>658</v>
      </c>
      <c r="G562" s="7">
        <v>-8</v>
      </c>
    </row>
    <row r="563" ht="15.75">
      <c r="A563" s="7" t="s">
        <v>588</v>
      </c>
      <c r="B563" s="7">
        <v>56.200000000000003</v>
      </c>
      <c r="C563" s="7">
        <v>0.10000000000000001</v>
      </c>
      <c r="D563" s="7">
        <v>0</v>
      </c>
      <c r="E563" s="7">
        <v>10</v>
      </c>
      <c r="F563" s="7">
        <v>648</v>
      </c>
      <c r="G563" s="7">
        <v>-9.8000000000000007</v>
      </c>
    </row>
    <row r="564" ht="15.75">
      <c r="A564" s="7" t="s">
        <v>589</v>
      </c>
      <c r="B564" s="7">
        <v>56.299999999999997</v>
      </c>
      <c r="C564" s="7">
        <v>0.10000000000000001</v>
      </c>
      <c r="D564" s="7">
        <v>0</v>
      </c>
      <c r="E564" s="7">
        <v>6</v>
      </c>
      <c r="F564" s="7">
        <v>642</v>
      </c>
      <c r="G564" s="7">
        <v>-6.2999999999999998</v>
      </c>
    </row>
    <row r="565" ht="15.75">
      <c r="A565" s="7" t="s">
        <v>590</v>
      </c>
      <c r="B565" s="7">
        <v>56.399999999999999</v>
      </c>
      <c r="C565" s="7">
        <v>0.10000000000000001</v>
      </c>
      <c r="D565" s="7">
        <v>0</v>
      </c>
      <c r="E565" s="7">
        <v>8</v>
      </c>
      <c r="F565" s="7">
        <v>633</v>
      </c>
      <c r="G565" s="7">
        <v>-8.4000000000000004</v>
      </c>
    </row>
    <row r="566" ht="15.75">
      <c r="A566" s="7" t="s">
        <v>591</v>
      </c>
      <c r="B566" s="7">
        <v>56.5</v>
      </c>
      <c r="C566" s="7">
        <v>0.10000000000000001</v>
      </c>
      <c r="D566" s="7">
        <v>0</v>
      </c>
      <c r="E566" s="7">
        <v>7</v>
      </c>
      <c r="F566" s="7">
        <v>627</v>
      </c>
      <c r="G566" s="7">
        <v>-6.5999999999999996</v>
      </c>
    </row>
    <row r="567" ht="15.75">
      <c r="A567" s="7" t="s">
        <v>592</v>
      </c>
      <c r="B567" s="7">
        <v>56.600000000000001</v>
      </c>
      <c r="C567" s="7">
        <v>0.10000000000000001</v>
      </c>
      <c r="D567" s="7">
        <v>0</v>
      </c>
      <c r="E567" s="7">
        <v>8</v>
      </c>
      <c r="F567" s="7">
        <v>619</v>
      </c>
      <c r="G567" s="7">
        <v>-8.0999999999999996</v>
      </c>
    </row>
    <row r="568" ht="15.75">
      <c r="A568" s="7" t="s">
        <v>593</v>
      </c>
      <c r="B568" s="7">
        <v>56.700000000000003</v>
      </c>
      <c r="C568" s="7">
        <v>0.10000000000000001</v>
      </c>
      <c r="D568" s="7">
        <v>0</v>
      </c>
      <c r="E568" s="7">
        <v>9</v>
      </c>
      <c r="F568" s="7">
        <v>610</v>
      </c>
      <c r="G568" s="7">
        <v>-8.9000000000000004</v>
      </c>
    </row>
    <row r="569" ht="15.75">
      <c r="A569" s="7" t="s">
        <v>594</v>
      </c>
      <c r="B569" s="7">
        <v>56.799999999999997</v>
      </c>
      <c r="C569" s="7">
        <v>0.10000000000000001</v>
      </c>
      <c r="D569" s="7">
        <v>0</v>
      </c>
      <c r="E569" s="7">
        <v>5</v>
      </c>
      <c r="F569" s="7">
        <v>605</v>
      </c>
      <c r="G569" s="7">
        <v>-4.9000000000000004</v>
      </c>
    </row>
    <row r="570" ht="15.75">
      <c r="A570" s="7" t="s">
        <v>595</v>
      </c>
      <c r="B570" s="7">
        <v>56.899999999999999</v>
      </c>
      <c r="C570" s="7">
        <v>0.10000000000000001</v>
      </c>
      <c r="D570" s="7">
        <v>0</v>
      </c>
      <c r="E570" s="7">
        <v>2</v>
      </c>
      <c r="F570" s="7">
        <v>603</v>
      </c>
      <c r="G570" s="7">
        <v>-1.7</v>
      </c>
    </row>
    <row r="571" ht="15.75">
      <c r="A571" s="7" t="s">
        <v>596</v>
      </c>
      <c r="B571" s="7">
        <v>57</v>
      </c>
      <c r="C571" s="7">
        <v>0.10000000000000001</v>
      </c>
      <c r="D571" s="7">
        <v>6</v>
      </c>
      <c r="E571" s="7">
        <v>0</v>
      </c>
      <c r="F571" s="7">
        <v>610</v>
      </c>
      <c r="G571" s="7">
        <v>6.2999999999999998</v>
      </c>
    </row>
    <row r="572" ht="15.75">
      <c r="A572" s="7" t="s">
        <v>597</v>
      </c>
      <c r="B572" s="7">
        <v>57.100000000000001</v>
      </c>
      <c r="C572" s="7">
        <v>0.10000000000000001</v>
      </c>
      <c r="D572" s="7">
        <v>12</v>
      </c>
      <c r="E572" s="7">
        <v>0</v>
      </c>
      <c r="F572" s="7">
        <v>621</v>
      </c>
      <c r="G572" s="7">
        <v>11.9</v>
      </c>
    </row>
    <row r="573" ht="15.75">
      <c r="A573" s="7" t="s">
        <v>598</v>
      </c>
      <c r="B573" s="7">
        <v>57.200000000000003</v>
      </c>
      <c r="C573" s="7">
        <v>0.10000000000000001</v>
      </c>
      <c r="D573" s="7">
        <v>10</v>
      </c>
      <c r="E573" s="7">
        <v>0</v>
      </c>
      <c r="F573" s="7">
        <v>631</v>
      </c>
      <c r="G573" s="7">
        <v>9.5</v>
      </c>
    </row>
    <row r="574" ht="15.75">
      <c r="A574" s="7" t="s">
        <v>599</v>
      </c>
      <c r="B574" s="7">
        <v>57.299999999999997</v>
      </c>
      <c r="C574" s="7">
        <v>0.10000000000000001</v>
      </c>
      <c r="D574" s="7">
        <v>7</v>
      </c>
      <c r="E574" s="7">
        <v>0</v>
      </c>
      <c r="F574" s="7">
        <v>638</v>
      </c>
      <c r="G574" s="7">
        <v>6.7000000000000002</v>
      </c>
    </row>
    <row r="575" ht="15.75">
      <c r="A575" s="7" t="s">
        <v>600</v>
      </c>
      <c r="B575" s="7">
        <v>57.399999999999999</v>
      </c>
      <c r="C575" s="7">
        <v>0.10000000000000001</v>
      </c>
      <c r="D575" s="7">
        <v>3</v>
      </c>
      <c r="E575" s="7">
        <v>0</v>
      </c>
      <c r="F575" s="7">
        <v>640</v>
      </c>
      <c r="G575" s="7">
        <v>2.7999999999999998</v>
      </c>
    </row>
    <row r="576" ht="15.75">
      <c r="A576" s="7" t="s">
        <v>601</v>
      </c>
      <c r="B576" s="7">
        <v>57.5</v>
      </c>
      <c r="C576" s="7">
        <v>0.10000000000000001</v>
      </c>
      <c r="D576" s="7">
        <v>0</v>
      </c>
      <c r="E576" s="7">
        <v>0</v>
      </c>
      <c r="F576" s="7">
        <v>641</v>
      </c>
      <c r="G576" s="7">
        <v>0.20000000000000001</v>
      </c>
    </row>
    <row r="577" ht="15.75">
      <c r="A577" s="7" t="s">
        <v>602</v>
      </c>
      <c r="B577" s="7">
        <v>57.600000000000001</v>
      </c>
      <c r="C577" s="7">
        <v>0.10000000000000001</v>
      </c>
      <c r="D577" s="7">
        <v>0</v>
      </c>
      <c r="E577" s="7">
        <v>2</v>
      </c>
      <c r="F577" s="7">
        <v>638</v>
      </c>
      <c r="G577" s="7">
        <v>-2.2000000000000002</v>
      </c>
    </row>
    <row r="578" ht="15.75">
      <c r="A578" s="7" t="s">
        <v>603</v>
      </c>
      <c r="B578" s="7">
        <v>57.700000000000003</v>
      </c>
      <c r="C578" s="7">
        <v>0.10000000000000001</v>
      </c>
      <c r="D578" s="7">
        <v>2</v>
      </c>
      <c r="E578" s="7">
        <v>0</v>
      </c>
      <c r="F578" s="7">
        <v>641</v>
      </c>
      <c r="G578" s="7">
        <v>2.5</v>
      </c>
    </row>
    <row r="579" ht="15.75">
      <c r="A579" s="7" t="s">
        <v>604</v>
      </c>
      <c r="B579" s="7">
        <v>57.799999999999997</v>
      </c>
      <c r="C579" s="7">
        <v>0.10000000000000001</v>
      </c>
      <c r="D579" s="7">
        <v>3</v>
      </c>
      <c r="E579" s="7">
        <v>0</v>
      </c>
      <c r="F579" s="7">
        <v>644</v>
      </c>
      <c r="G579" s="7">
        <v>2.7000000000000002</v>
      </c>
    </row>
    <row r="580" ht="15.75">
      <c r="A580" s="7" t="s">
        <v>605</v>
      </c>
      <c r="B580" s="7">
        <v>57.899999999999999</v>
      </c>
      <c r="C580" s="7">
        <v>0.10000000000000001</v>
      </c>
      <c r="D580" s="7">
        <v>6</v>
      </c>
      <c r="E580" s="7">
        <v>0</v>
      </c>
      <c r="F580" s="7">
        <v>649</v>
      </c>
      <c r="G580" s="7">
        <v>5.5</v>
      </c>
    </row>
    <row r="581" ht="15.75">
      <c r="A581" s="7" t="s">
        <v>606</v>
      </c>
      <c r="B581" s="7">
        <v>58</v>
      </c>
      <c r="C581" s="7">
        <v>0.10000000000000001</v>
      </c>
      <c r="D581" s="7">
        <v>4</v>
      </c>
      <c r="E581" s="7">
        <v>0</v>
      </c>
      <c r="F581" s="7">
        <v>653</v>
      </c>
      <c r="G581" s="7">
        <v>3.7000000000000002</v>
      </c>
    </row>
    <row r="582" ht="15.75">
      <c r="A582" s="7" t="s">
        <v>607</v>
      </c>
      <c r="B582" s="7">
        <v>58.100000000000001</v>
      </c>
      <c r="C582" s="7">
        <v>0.10000000000000001</v>
      </c>
      <c r="D582" s="7">
        <v>1</v>
      </c>
      <c r="E582" s="7">
        <v>0</v>
      </c>
      <c r="F582" s="7">
        <v>654</v>
      </c>
      <c r="G582" s="7">
        <v>0.90000000000000002</v>
      </c>
    </row>
    <row r="583" ht="15.75">
      <c r="A583" s="7" t="s">
        <v>608</v>
      </c>
      <c r="B583" s="7">
        <v>58.200000000000003</v>
      </c>
      <c r="C583" s="7">
        <v>0.10000000000000001</v>
      </c>
      <c r="D583" s="7">
        <v>0</v>
      </c>
      <c r="E583" s="7">
        <v>1</v>
      </c>
      <c r="F583" s="7">
        <v>653</v>
      </c>
      <c r="G583" s="7">
        <v>-1</v>
      </c>
    </row>
    <row r="584" ht="15.75">
      <c r="A584" s="7" t="s">
        <v>609</v>
      </c>
      <c r="B584" s="7">
        <v>58.299999999999997</v>
      </c>
      <c r="C584" s="7">
        <v>0.10000000000000001</v>
      </c>
      <c r="D584" s="7">
        <v>0</v>
      </c>
      <c r="E584" s="7">
        <v>2</v>
      </c>
      <c r="F584" s="7">
        <v>650</v>
      </c>
      <c r="G584" s="7">
        <v>-2.5</v>
      </c>
    </row>
    <row r="585" ht="15.75">
      <c r="A585" s="7" t="s">
        <v>610</v>
      </c>
      <c r="B585" s="7">
        <v>58.399999999999999</v>
      </c>
      <c r="C585" s="7">
        <v>0.10000000000000001</v>
      </c>
      <c r="D585" s="7">
        <v>0</v>
      </c>
      <c r="E585" s="7">
        <v>5</v>
      </c>
      <c r="F585" s="7">
        <v>646</v>
      </c>
      <c r="G585" s="7">
        <v>-4.5</v>
      </c>
    </row>
    <row r="586" ht="15.75">
      <c r="A586" s="7" t="s">
        <v>611</v>
      </c>
      <c r="B586" s="7">
        <v>58.5</v>
      </c>
      <c r="C586" s="7">
        <v>0.10000000000000001</v>
      </c>
      <c r="D586" s="7">
        <v>0</v>
      </c>
      <c r="E586" s="7">
        <v>5</v>
      </c>
      <c r="F586" s="7">
        <v>641</v>
      </c>
      <c r="G586" s="7">
        <v>-5.2000000000000002</v>
      </c>
    </row>
    <row r="587" ht="15.75">
      <c r="A587" s="7" t="s">
        <v>612</v>
      </c>
      <c r="B587" s="7">
        <v>58.600000000000001</v>
      </c>
      <c r="C587" s="7">
        <v>0.10000000000000001</v>
      </c>
      <c r="D587" s="7">
        <v>0</v>
      </c>
      <c r="E587" s="7">
        <v>7</v>
      </c>
      <c r="F587" s="7">
        <v>634</v>
      </c>
      <c r="G587" s="7">
        <v>-6.5</v>
      </c>
    </row>
    <row r="588" ht="15.75">
      <c r="A588" s="7" t="s">
        <v>613</v>
      </c>
      <c r="B588" s="7">
        <v>58.700000000000003</v>
      </c>
      <c r="C588" s="7">
        <v>0.10000000000000001</v>
      </c>
      <c r="D588" s="7">
        <v>0</v>
      </c>
      <c r="E588" s="7">
        <v>5</v>
      </c>
      <c r="F588" s="7">
        <v>629</v>
      </c>
      <c r="G588" s="7">
        <v>-5.0999999999999996</v>
      </c>
    </row>
    <row r="589" ht="15.75">
      <c r="A589" s="7" t="s">
        <v>614</v>
      </c>
      <c r="B589" s="7">
        <v>58.799999999999997</v>
      </c>
      <c r="C589" s="7">
        <v>0.10000000000000001</v>
      </c>
      <c r="D589" s="7">
        <v>3</v>
      </c>
      <c r="E589" s="7">
        <v>0</v>
      </c>
      <c r="F589" s="7">
        <v>632</v>
      </c>
      <c r="G589" s="7">
        <v>2.7999999999999998</v>
      </c>
    </row>
    <row r="590" ht="15.75">
      <c r="A590" s="7" t="s">
        <v>615</v>
      </c>
      <c r="B590" s="7">
        <v>58.899999999999999</v>
      </c>
      <c r="C590" s="7">
        <v>0.10000000000000001</v>
      </c>
      <c r="D590" s="7">
        <v>1</v>
      </c>
      <c r="E590" s="7">
        <v>4</v>
      </c>
      <c r="F590" s="7">
        <v>629</v>
      </c>
      <c r="G590" s="7">
        <v>-3</v>
      </c>
    </row>
    <row r="591" ht="15.75">
      <c r="A591" s="7" t="s">
        <v>616</v>
      </c>
      <c r="B591" s="7">
        <v>59</v>
      </c>
      <c r="C591" s="7">
        <v>0.10000000000000001</v>
      </c>
      <c r="D591" s="7">
        <v>7</v>
      </c>
      <c r="E591" s="7">
        <v>3</v>
      </c>
      <c r="F591" s="7">
        <v>633</v>
      </c>
      <c r="G591" s="7">
        <v>4.2000000000000002</v>
      </c>
    </row>
    <row r="592" ht="15.75">
      <c r="A592" s="7" t="s">
        <v>617</v>
      </c>
      <c r="B592" s="7">
        <v>59.100000000000001</v>
      </c>
      <c r="C592" s="7">
        <v>0.10000000000000001</v>
      </c>
      <c r="D592" s="7">
        <v>9</v>
      </c>
      <c r="E592" s="7">
        <v>0</v>
      </c>
      <c r="F592" s="7">
        <v>642</v>
      </c>
      <c r="G592" s="7">
        <v>8.6999999999999993</v>
      </c>
    </row>
    <row r="593" ht="15.75">
      <c r="A593" s="7" t="s">
        <v>618</v>
      </c>
      <c r="B593" s="7">
        <v>59.200000000000003</v>
      </c>
      <c r="C593" s="7">
        <v>0.10000000000000001</v>
      </c>
      <c r="D593" s="7">
        <v>3</v>
      </c>
      <c r="E593" s="7">
        <v>3</v>
      </c>
      <c r="F593" s="7">
        <v>641</v>
      </c>
      <c r="G593" s="7">
        <v>-0.20000000000000001</v>
      </c>
    </row>
    <row r="594" ht="15.75">
      <c r="A594" s="7" t="s">
        <v>619</v>
      </c>
      <c r="B594" s="7">
        <v>59.299999999999997</v>
      </c>
      <c r="C594" s="7">
        <v>0.10000000000000001</v>
      </c>
      <c r="D594" s="7">
        <v>3</v>
      </c>
      <c r="E594" s="7">
        <v>0</v>
      </c>
      <c r="F594" s="7">
        <v>644</v>
      </c>
      <c r="G594" s="7">
        <v>2.8999999999999999</v>
      </c>
    </row>
    <row r="595" ht="15.75">
      <c r="A595" s="7" t="s">
        <v>620</v>
      </c>
      <c r="B595" s="7">
        <v>59.399999999999999</v>
      </c>
      <c r="C595" s="7">
        <v>0.10000000000000001</v>
      </c>
      <c r="D595" s="7">
        <v>2</v>
      </c>
      <c r="E595" s="7">
        <v>0</v>
      </c>
      <c r="F595" s="7">
        <v>646</v>
      </c>
      <c r="G595" s="7">
        <v>1.8999999999999999</v>
      </c>
    </row>
    <row r="596" ht="15.75">
      <c r="A596" s="7" t="s">
        <v>621</v>
      </c>
      <c r="B596" s="7">
        <v>59.5</v>
      </c>
      <c r="C596" s="7">
        <v>0.10000000000000001</v>
      </c>
      <c r="D596" s="7">
        <v>3</v>
      </c>
      <c r="E596" s="7">
        <v>4</v>
      </c>
      <c r="F596" s="7">
        <v>646</v>
      </c>
      <c r="G596" s="7">
        <v>-0.80000000000000004</v>
      </c>
    </row>
    <row r="597" ht="15.75">
      <c r="A597" s="7" t="s">
        <v>622</v>
      </c>
      <c r="B597" s="7">
        <v>59.600000000000001</v>
      </c>
      <c r="C597" s="7">
        <v>0.10000000000000001</v>
      </c>
      <c r="D597" s="7">
        <v>3</v>
      </c>
      <c r="E597" s="7">
        <v>0</v>
      </c>
      <c r="F597" s="7">
        <v>648</v>
      </c>
      <c r="G597" s="7">
        <v>2.8999999999999999</v>
      </c>
    </row>
    <row r="598" ht="15.75">
      <c r="A598" s="7" t="s">
        <v>623</v>
      </c>
      <c r="B598" s="7">
        <v>59.700000000000003</v>
      </c>
      <c r="C598" s="7">
        <v>0.10000000000000001</v>
      </c>
      <c r="D598" s="7">
        <v>5</v>
      </c>
      <c r="E598" s="7">
        <v>0</v>
      </c>
      <c r="F598" s="7">
        <v>654</v>
      </c>
      <c r="G598" s="7">
        <v>5.0999999999999996</v>
      </c>
    </row>
    <row r="599" ht="15.75">
      <c r="A599" s="7" t="s">
        <v>624</v>
      </c>
      <c r="B599" s="7">
        <v>59.799999999999997</v>
      </c>
      <c r="C599" s="7">
        <v>0.10000000000000001</v>
      </c>
      <c r="D599" s="7">
        <v>4</v>
      </c>
      <c r="E599" s="7">
        <v>1</v>
      </c>
      <c r="F599" s="7">
        <v>656</v>
      </c>
      <c r="G599" s="7">
        <v>2.8999999999999999</v>
      </c>
    </row>
    <row r="600" ht="15.75">
      <c r="A600" s="7" t="s">
        <v>625</v>
      </c>
      <c r="B600" s="7">
        <v>59.899999999999999</v>
      </c>
      <c r="C600" s="7">
        <v>0.10000000000000001</v>
      </c>
      <c r="D600" s="7">
        <v>4</v>
      </c>
      <c r="E600" s="7">
        <v>1</v>
      </c>
      <c r="F600" s="7">
        <v>659</v>
      </c>
      <c r="G600" s="7">
        <v>2.6000000000000001</v>
      </c>
    </row>
    <row r="601" ht="15.75">
      <c r="A601" s="7" t="s">
        <v>32</v>
      </c>
      <c r="B601" s="7">
        <v>60</v>
      </c>
      <c r="C601" s="7">
        <v>0.10000000000000001</v>
      </c>
      <c r="D601" s="7">
        <v>7</v>
      </c>
      <c r="E601" s="7">
        <v>0</v>
      </c>
      <c r="F601" s="7">
        <v>666</v>
      </c>
      <c r="G601" s="7">
        <v>6.7000000000000002</v>
      </c>
    </row>
    <row r="602" ht="15.75">
      <c r="A602" s="7" t="s">
        <v>626</v>
      </c>
      <c r="B602" s="7">
        <v>60.100000000000001</v>
      </c>
      <c r="C602" s="7">
        <v>0.10000000000000001</v>
      </c>
      <c r="D602" s="7">
        <v>6</v>
      </c>
      <c r="E602" s="7">
        <v>0</v>
      </c>
      <c r="F602" s="7">
        <v>672</v>
      </c>
      <c r="G602" s="7">
        <v>6</v>
      </c>
    </row>
    <row r="603" ht="15.75">
      <c r="A603" s="7" t="s">
        <v>627</v>
      </c>
      <c r="B603" s="7">
        <v>60.200000000000003</v>
      </c>
      <c r="C603" s="7">
        <v>0.10000000000000001</v>
      </c>
      <c r="D603" s="7">
        <v>7</v>
      </c>
      <c r="E603" s="7">
        <v>0</v>
      </c>
      <c r="F603" s="7">
        <v>679</v>
      </c>
      <c r="G603" s="7">
        <v>6.7999999999999998</v>
      </c>
    </row>
    <row r="604" ht="15.75">
      <c r="A604" s="7" t="s">
        <v>628</v>
      </c>
      <c r="B604" s="7">
        <v>60.299999999999997</v>
      </c>
      <c r="C604" s="7">
        <v>0.10000000000000001</v>
      </c>
      <c r="D604" s="7">
        <v>5</v>
      </c>
      <c r="E604" s="7">
        <v>0</v>
      </c>
      <c r="F604" s="7">
        <v>683</v>
      </c>
      <c r="G604" s="7">
        <v>4.5</v>
      </c>
    </row>
    <row r="605" ht="15.75">
      <c r="A605" s="7" t="s">
        <v>629</v>
      </c>
      <c r="B605" s="7">
        <v>60.399999999999999</v>
      </c>
      <c r="C605" s="7">
        <v>0.10000000000000001</v>
      </c>
      <c r="D605" s="7">
        <v>3</v>
      </c>
      <c r="E605" s="7">
        <v>0</v>
      </c>
      <c r="F605" s="7">
        <v>686</v>
      </c>
      <c r="G605" s="7">
        <v>2.5</v>
      </c>
    </row>
    <row r="606" ht="15.75">
      <c r="A606" s="7" t="s">
        <v>630</v>
      </c>
      <c r="B606" s="7">
        <v>60.5</v>
      </c>
      <c r="C606" s="7">
        <v>0.10000000000000001</v>
      </c>
      <c r="D606" s="7">
        <v>2</v>
      </c>
      <c r="E606" s="7">
        <v>0</v>
      </c>
      <c r="F606" s="7">
        <v>688</v>
      </c>
      <c r="G606" s="7">
        <v>2.2000000000000002</v>
      </c>
    </row>
    <row r="607" ht="15.75">
      <c r="A607" s="7" t="s">
        <v>631</v>
      </c>
      <c r="B607" s="7">
        <v>60.600000000000001</v>
      </c>
      <c r="C607" s="7">
        <v>0.10000000000000001</v>
      </c>
      <c r="D607" s="7">
        <v>4</v>
      </c>
      <c r="E607" s="7">
        <v>0</v>
      </c>
      <c r="F607" s="7">
        <v>692</v>
      </c>
      <c r="G607" s="7">
        <v>3.7000000000000002</v>
      </c>
    </row>
    <row r="608" ht="15.75">
      <c r="A608" s="7" t="s">
        <v>632</v>
      </c>
      <c r="B608" s="7">
        <v>60.700000000000003</v>
      </c>
      <c r="C608" s="7">
        <v>0.10000000000000001</v>
      </c>
      <c r="D608" s="7">
        <v>3</v>
      </c>
      <c r="E608" s="7">
        <v>0</v>
      </c>
      <c r="F608" s="7">
        <v>695</v>
      </c>
      <c r="G608" s="7">
        <v>3.2999999999999998</v>
      </c>
    </row>
    <row r="609" ht="15.75">
      <c r="A609" s="7" t="s">
        <v>633</v>
      </c>
      <c r="B609" s="7">
        <v>60.799999999999997</v>
      </c>
      <c r="C609" s="7">
        <v>0.10000000000000001</v>
      </c>
      <c r="D609" s="7">
        <v>3</v>
      </c>
      <c r="E609" s="7">
        <v>0</v>
      </c>
      <c r="F609" s="7">
        <v>698</v>
      </c>
      <c r="G609" s="7">
        <v>3.2999999999999998</v>
      </c>
    </row>
    <row r="610" ht="15.75">
      <c r="A610" s="7" t="s">
        <v>634</v>
      </c>
      <c r="B610" s="7">
        <v>60.899999999999999</v>
      </c>
      <c r="C610" s="7">
        <v>0.10000000000000001</v>
      </c>
      <c r="D610" s="7">
        <v>2</v>
      </c>
      <c r="E610" s="7">
        <v>1</v>
      </c>
      <c r="F610" s="7">
        <v>699</v>
      </c>
      <c r="G610" s="7">
        <v>0.90000000000000002</v>
      </c>
    </row>
    <row r="611" ht="15.75">
      <c r="A611" s="7" t="s">
        <v>635</v>
      </c>
      <c r="B611" s="7">
        <v>61</v>
      </c>
      <c r="C611" s="7">
        <v>0.10000000000000001</v>
      </c>
      <c r="D611" s="7">
        <v>8</v>
      </c>
      <c r="E611" s="7">
        <v>0</v>
      </c>
      <c r="F611" s="7">
        <v>707</v>
      </c>
      <c r="G611" s="7">
        <v>8.0999999999999996</v>
      </c>
    </row>
    <row r="612" ht="15.75">
      <c r="A612" s="7" t="s">
        <v>636</v>
      </c>
      <c r="B612" s="7">
        <v>61.100000000000001</v>
      </c>
      <c r="C612" s="7">
        <v>0.10000000000000001</v>
      </c>
      <c r="D612" s="7">
        <v>11</v>
      </c>
      <c r="E612" s="7">
        <v>0</v>
      </c>
      <c r="F612" s="7">
        <v>718</v>
      </c>
      <c r="G612" s="7">
        <v>10.6</v>
      </c>
    </row>
    <row r="613" ht="15.75">
      <c r="A613" s="7" t="s">
        <v>637</v>
      </c>
      <c r="B613" s="7">
        <v>61.200000000000003</v>
      </c>
      <c r="C613" s="7">
        <v>0.10000000000000001</v>
      </c>
      <c r="D613" s="7">
        <v>11</v>
      </c>
      <c r="E613" s="7">
        <v>0</v>
      </c>
      <c r="F613" s="7">
        <v>728</v>
      </c>
      <c r="G613" s="7">
        <v>10.699999999999999</v>
      </c>
    </row>
    <row r="614" ht="15.75">
      <c r="A614" s="7" t="s">
        <v>638</v>
      </c>
      <c r="B614" s="7">
        <v>61.299999999999997</v>
      </c>
      <c r="C614" s="7">
        <v>0.10000000000000001</v>
      </c>
      <c r="D614" s="7">
        <v>9</v>
      </c>
      <c r="E614" s="7">
        <v>0</v>
      </c>
      <c r="F614" s="7">
        <v>737</v>
      </c>
      <c r="G614" s="7">
        <v>9</v>
      </c>
    </row>
    <row r="615" ht="15.75">
      <c r="A615" s="7" t="s">
        <v>639</v>
      </c>
      <c r="B615" s="7">
        <v>61.399999999999999</v>
      </c>
      <c r="C615" s="7">
        <v>0.10000000000000001</v>
      </c>
      <c r="D615" s="7">
        <v>5</v>
      </c>
      <c r="E615" s="7">
        <v>0</v>
      </c>
      <c r="F615" s="7">
        <v>743</v>
      </c>
      <c r="G615" s="7">
        <v>5.4000000000000004</v>
      </c>
    </row>
    <row r="616" ht="15.75">
      <c r="A616" s="7" t="s">
        <v>640</v>
      </c>
      <c r="B616" s="7">
        <v>61.5</v>
      </c>
      <c r="C616" s="7">
        <v>0.10000000000000001</v>
      </c>
      <c r="D616" s="7">
        <v>3</v>
      </c>
      <c r="E616" s="7">
        <v>0</v>
      </c>
      <c r="F616" s="7">
        <v>746</v>
      </c>
      <c r="G616" s="7">
        <v>3.2000000000000002</v>
      </c>
    </row>
    <row r="617" ht="15.75">
      <c r="A617" s="7" t="s">
        <v>641</v>
      </c>
      <c r="B617" s="7">
        <v>61.600000000000001</v>
      </c>
      <c r="C617" s="7">
        <v>0.10000000000000001</v>
      </c>
      <c r="D617" s="7">
        <v>1</v>
      </c>
      <c r="E617" s="7">
        <v>0</v>
      </c>
      <c r="F617" s="7">
        <v>747</v>
      </c>
      <c r="G617" s="7">
        <v>1.3999999999999999</v>
      </c>
    </row>
    <row r="618" ht="15.75">
      <c r="A618" s="7" t="s">
        <v>642</v>
      </c>
      <c r="B618" s="7">
        <v>61.700000000000003</v>
      </c>
      <c r="C618" s="7">
        <v>0.10000000000000001</v>
      </c>
      <c r="D618" s="7">
        <v>1</v>
      </c>
      <c r="E618" s="7">
        <v>0</v>
      </c>
      <c r="F618" s="7">
        <v>748</v>
      </c>
      <c r="G618" s="7">
        <v>0.80000000000000004</v>
      </c>
    </row>
    <row r="619" ht="15.75">
      <c r="A619" s="7" t="s">
        <v>643</v>
      </c>
      <c r="B619" s="7">
        <v>61.799999999999997</v>
      </c>
      <c r="C619" s="7">
        <v>0.10000000000000001</v>
      </c>
      <c r="D619" s="7">
        <v>0</v>
      </c>
      <c r="E619" s="7">
        <v>2</v>
      </c>
      <c r="F619" s="7">
        <v>746</v>
      </c>
      <c r="G619" s="7">
        <v>-2</v>
      </c>
    </row>
    <row r="620" ht="15.75">
      <c r="A620" s="7" t="s">
        <v>644</v>
      </c>
      <c r="B620" s="7">
        <v>61.899999999999999</v>
      </c>
      <c r="C620" s="7">
        <v>0.10000000000000001</v>
      </c>
      <c r="D620" s="7">
        <v>0</v>
      </c>
      <c r="E620" s="7">
        <v>5</v>
      </c>
      <c r="F620" s="7">
        <v>741</v>
      </c>
      <c r="G620" s="7">
        <v>-5</v>
      </c>
    </row>
    <row r="621" ht="15.75">
      <c r="A621" s="7" t="s">
        <v>645</v>
      </c>
      <c r="B621" s="7">
        <v>62</v>
      </c>
      <c r="C621" s="7">
        <v>0.10000000000000001</v>
      </c>
      <c r="D621" s="7">
        <v>0</v>
      </c>
      <c r="E621" s="7">
        <v>4</v>
      </c>
      <c r="F621" s="7">
        <v>737</v>
      </c>
      <c r="G621" s="7">
        <v>-4.4000000000000004</v>
      </c>
    </row>
    <row r="622" ht="15.75">
      <c r="A622" s="7" t="s">
        <v>646</v>
      </c>
      <c r="B622" s="7">
        <v>62.100000000000001</v>
      </c>
      <c r="C622" s="7">
        <v>0.10000000000000001</v>
      </c>
      <c r="D622" s="7">
        <v>0</v>
      </c>
      <c r="E622" s="7">
        <v>4</v>
      </c>
      <c r="F622" s="7">
        <v>733</v>
      </c>
      <c r="G622" s="7">
        <v>-3.7999999999999998</v>
      </c>
    </row>
    <row r="623" ht="15.75">
      <c r="A623" s="7" t="s">
        <v>647</v>
      </c>
      <c r="B623" s="7">
        <v>62.200000000000003</v>
      </c>
      <c r="C623" s="7">
        <v>0.10000000000000001</v>
      </c>
      <c r="D623" s="7">
        <v>0</v>
      </c>
      <c r="E623" s="7">
        <v>4</v>
      </c>
      <c r="F623" s="7">
        <v>729</v>
      </c>
      <c r="G623" s="7">
        <v>-4.0999999999999996</v>
      </c>
    </row>
    <row r="624" ht="15.75">
      <c r="A624" s="7" t="s">
        <v>648</v>
      </c>
      <c r="B624" s="7">
        <v>62.299999999999997</v>
      </c>
      <c r="C624" s="7">
        <v>0.10000000000000001</v>
      </c>
      <c r="D624" s="7">
        <v>0</v>
      </c>
      <c r="E624" s="7">
        <v>9</v>
      </c>
      <c r="F624" s="7">
        <v>720</v>
      </c>
      <c r="G624" s="7">
        <v>-8.9000000000000004</v>
      </c>
    </row>
    <row r="625" ht="15.75">
      <c r="A625" s="7" t="s">
        <v>649</v>
      </c>
      <c r="B625" s="7">
        <v>62.399999999999999</v>
      </c>
      <c r="C625" s="7">
        <v>0.10000000000000001</v>
      </c>
      <c r="D625" s="7">
        <v>0</v>
      </c>
      <c r="E625" s="7">
        <v>8</v>
      </c>
      <c r="F625" s="7">
        <v>712</v>
      </c>
      <c r="G625" s="7">
        <v>-7.9000000000000004</v>
      </c>
    </row>
    <row r="626" ht="15.75">
      <c r="A626" s="7" t="s">
        <v>650</v>
      </c>
      <c r="B626" s="7">
        <v>62.5</v>
      </c>
      <c r="C626" s="7">
        <v>0.10000000000000001</v>
      </c>
      <c r="D626" s="7">
        <v>0</v>
      </c>
      <c r="E626" s="7">
        <v>6</v>
      </c>
      <c r="F626" s="7">
        <v>706</v>
      </c>
      <c r="G626" s="7">
        <v>-6.5</v>
      </c>
    </row>
    <row r="627" ht="15.75">
      <c r="A627" s="7" t="s">
        <v>651</v>
      </c>
      <c r="B627" s="7">
        <v>62.600000000000001</v>
      </c>
      <c r="C627" s="7">
        <v>0.10000000000000001</v>
      </c>
      <c r="D627" s="7">
        <v>0</v>
      </c>
      <c r="E627" s="7">
        <v>6</v>
      </c>
      <c r="F627" s="7">
        <v>700</v>
      </c>
      <c r="G627" s="7">
        <v>-6.0999999999999996</v>
      </c>
    </row>
    <row r="628" ht="15.75">
      <c r="A628" s="7" t="s">
        <v>652</v>
      </c>
      <c r="B628" s="7">
        <v>62.700000000000003</v>
      </c>
      <c r="C628" s="7">
        <v>0.10000000000000001</v>
      </c>
      <c r="D628" s="7">
        <v>0</v>
      </c>
      <c r="E628" s="7">
        <v>4</v>
      </c>
      <c r="F628" s="7">
        <v>695</v>
      </c>
      <c r="G628" s="7">
        <v>-4.0999999999999996</v>
      </c>
    </row>
    <row r="629" ht="15.75">
      <c r="A629" s="7" t="s">
        <v>653</v>
      </c>
      <c r="B629" s="7">
        <v>62.799999999999997</v>
      </c>
      <c r="C629" s="7">
        <v>0.10000000000000001</v>
      </c>
      <c r="D629" s="7">
        <v>0</v>
      </c>
      <c r="E629" s="7">
        <v>5</v>
      </c>
      <c r="F629" s="7">
        <v>691</v>
      </c>
      <c r="G629" s="7">
        <v>-4.7000000000000002</v>
      </c>
    </row>
    <row r="630" ht="15.75">
      <c r="A630" s="7" t="s">
        <v>654</v>
      </c>
      <c r="B630" s="7">
        <v>62.899999999999999</v>
      </c>
      <c r="C630" s="7">
        <v>0.10000000000000001</v>
      </c>
      <c r="D630" s="7">
        <v>4</v>
      </c>
      <c r="E630" s="7">
        <v>3</v>
      </c>
      <c r="F630" s="7">
        <v>691</v>
      </c>
      <c r="G630" s="7">
        <v>0.59999999999999998</v>
      </c>
    </row>
    <row r="631" ht="15.75">
      <c r="A631" s="7" t="s">
        <v>655</v>
      </c>
      <c r="B631" s="7">
        <v>63</v>
      </c>
      <c r="C631" s="7">
        <v>0.10000000000000001</v>
      </c>
      <c r="D631" s="7">
        <v>9</v>
      </c>
      <c r="E631" s="7">
        <v>0</v>
      </c>
      <c r="F631" s="7">
        <v>700</v>
      </c>
      <c r="G631" s="7">
        <v>9.0999999999999996</v>
      </c>
    </row>
    <row r="632" ht="15.75">
      <c r="A632" s="7" t="s">
        <v>656</v>
      </c>
      <c r="B632" s="7">
        <v>63.100000000000001</v>
      </c>
      <c r="C632" s="7">
        <v>0.10000000000000001</v>
      </c>
      <c r="D632" s="7">
        <v>3</v>
      </c>
      <c r="E632" s="7">
        <v>0</v>
      </c>
      <c r="F632" s="7">
        <v>703</v>
      </c>
      <c r="G632" s="7">
        <v>2.8999999999999999</v>
      </c>
    </row>
    <row r="633" ht="15.75">
      <c r="A633" s="7" t="s">
        <v>657</v>
      </c>
      <c r="B633" s="7">
        <v>63.200000000000003</v>
      </c>
      <c r="C633" s="7">
        <v>0.10000000000000001</v>
      </c>
      <c r="D633" s="7">
        <v>1</v>
      </c>
      <c r="E633" s="7">
        <v>4</v>
      </c>
      <c r="F633" s="7">
        <v>700</v>
      </c>
      <c r="G633" s="7">
        <v>-3.2000000000000002</v>
      </c>
    </row>
    <row r="634" ht="15.75">
      <c r="A634" s="7" t="s">
        <v>658</v>
      </c>
      <c r="B634" s="7">
        <v>63.299999999999997</v>
      </c>
      <c r="C634" s="7">
        <v>0.10000000000000001</v>
      </c>
      <c r="D634" s="7">
        <v>0</v>
      </c>
      <c r="E634" s="7">
        <v>2</v>
      </c>
      <c r="F634" s="7">
        <v>698</v>
      </c>
      <c r="G634" s="7">
        <v>-2.2999999999999998</v>
      </c>
    </row>
    <row r="635" ht="15.75">
      <c r="A635" s="7" t="s">
        <v>659</v>
      </c>
      <c r="B635" s="7">
        <v>63.399999999999999</v>
      </c>
      <c r="C635" s="7">
        <v>0.10000000000000001</v>
      </c>
      <c r="D635" s="7">
        <v>5</v>
      </c>
      <c r="E635" s="7">
        <v>0</v>
      </c>
      <c r="F635" s="7">
        <v>703</v>
      </c>
      <c r="G635" s="7">
        <v>5.2999999999999998</v>
      </c>
    </row>
    <row r="636" ht="15.75">
      <c r="A636" s="7" t="s">
        <v>660</v>
      </c>
      <c r="B636" s="7">
        <v>63.5</v>
      </c>
      <c r="C636" s="7">
        <v>0.10000000000000001</v>
      </c>
      <c r="D636" s="7">
        <v>4</v>
      </c>
      <c r="E636" s="7">
        <v>0</v>
      </c>
      <c r="F636" s="7">
        <v>707</v>
      </c>
      <c r="G636" s="7">
        <v>3.6000000000000001</v>
      </c>
    </row>
    <row r="637" ht="15.75">
      <c r="A637" s="7" t="s">
        <v>661</v>
      </c>
      <c r="B637" s="7">
        <v>63.600000000000001</v>
      </c>
      <c r="C637" s="7">
        <v>0.10000000000000001</v>
      </c>
      <c r="D637" s="7">
        <v>0</v>
      </c>
      <c r="E637" s="7">
        <v>1</v>
      </c>
      <c r="F637" s="7">
        <v>706</v>
      </c>
      <c r="G637" s="7">
        <v>-0.29999999999999999</v>
      </c>
    </row>
    <row r="638" ht="15.75">
      <c r="A638" s="7" t="s">
        <v>662</v>
      </c>
      <c r="B638" s="7">
        <v>63.700000000000003</v>
      </c>
      <c r="C638" s="7">
        <v>0.10000000000000001</v>
      </c>
      <c r="D638" s="7">
        <v>0</v>
      </c>
      <c r="E638" s="7">
        <v>2</v>
      </c>
      <c r="F638" s="7">
        <v>705</v>
      </c>
      <c r="G638" s="7">
        <v>-1.8</v>
      </c>
    </row>
    <row r="639" ht="15.75">
      <c r="A639" s="7" t="s">
        <v>663</v>
      </c>
      <c r="B639" s="7">
        <v>63.799999999999997</v>
      </c>
      <c r="C639" s="7">
        <v>0.10000000000000001</v>
      </c>
      <c r="D639" s="7">
        <v>4</v>
      </c>
      <c r="E639" s="7">
        <v>0</v>
      </c>
      <c r="F639" s="7">
        <v>709</v>
      </c>
      <c r="G639" s="7">
        <v>4.2000000000000002</v>
      </c>
    </row>
    <row r="640" ht="15.75">
      <c r="A640" s="7" t="s">
        <v>664</v>
      </c>
      <c r="B640" s="7">
        <v>63.899999999999999</v>
      </c>
      <c r="C640" s="7">
        <v>0.10000000000000001</v>
      </c>
      <c r="D640" s="7">
        <v>5</v>
      </c>
      <c r="E640" s="7">
        <v>0</v>
      </c>
      <c r="F640" s="7">
        <v>714</v>
      </c>
      <c r="G640" s="7">
        <v>4.7999999999999998</v>
      </c>
    </row>
    <row r="641" ht="15.75">
      <c r="A641" s="7" t="s">
        <v>665</v>
      </c>
      <c r="B641" s="7">
        <v>64</v>
      </c>
      <c r="C641" s="7">
        <v>0.10000000000000001</v>
      </c>
      <c r="D641" s="7">
        <v>3</v>
      </c>
      <c r="E641" s="7">
        <v>0</v>
      </c>
      <c r="F641" s="7">
        <v>717</v>
      </c>
      <c r="G641" s="7">
        <v>3.5</v>
      </c>
    </row>
    <row r="642" ht="15.75">
      <c r="A642" s="7" t="s">
        <v>666</v>
      </c>
      <c r="B642" s="7">
        <v>64.099999999999994</v>
      </c>
      <c r="C642" s="7">
        <v>0.10000000000000001</v>
      </c>
      <c r="D642" s="7">
        <v>3</v>
      </c>
      <c r="E642" s="7">
        <v>0</v>
      </c>
      <c r="F642" s="7">
        <v>720</v>
      </c>
      <c r="G642" s="7">
        <v>3.1000000000000001</v>
      </c>
    </row>
    <row r="643" ht="15.75">
      <c r="A643" s="7" t="s">
        <v>667</v>
      </c>
      <c r="B643" s="7">
        <v>64.200000000000003</v>
      </c>
      <c r="C643" s="7">
        <v>0.10000000000000001</v>
      </c>
      <c r="D643" s="7">
        <v>0</v>
      </c>
      <c r="E643" s="7">
        <v>0</v>
      </c>
      <c r="F643" s="7">
        <v>721</v>
      </c>
      <c r="G643" s="7">
        <v>0.40000000000000002</v>
      </c>
    </row>
    <row r="644" ht="15.75">
      <c r="A644" s="7" t="s">
        <v>668</v>
      </c>
      <c r="B644" s="7">
        <v>64.299999999999997</v>
      </c>
      <c r="C644" s="7">
        <v>0.10000000000000001</v>
      </c>
      <c r="D644" s="7">
        <v>0</v>
      </c>
      <c r="E644" s="7">
        <v>0</v>
      </c>
      <c r="F644" s="7">
        <v>720</v>
      </c>
      <c r="G644" s="7">
        <v>-0.20000000000000001</v>
      </c>
    </row>
    <row r="645" ht="15.75">
      <c r="A645" s="7" t="s">
        <v>669</v>
      </c>
      <c r="B645" s="7">
        <v>64.400000000000006</v>
      </c>
      <c r="C645" s="7">
        <v>0.10000000000000001</v>
      </c>
      <c r="D645" s="7">
        <v>0</v>
      </c>
      <c r="E645" s="7">
        <v>2</v>
      </c>
      <c r="F645" s="7">
        <v>719</v>
      </c>
      <c r="G645" s="7">
        <v>-1.6000000000000001</v>
      </c>
    </row>
    <row r="646" ht="15.75">
      <c r="A646" s="7" t="s">
        <v>670</v>
      </c>
      <c r="B646" s="7">
        <v>64.5</v>
      </c>
      <c r="C646" s="7">
        <v>0.10000000000000001</v>
      </c>
      <c r="D646" s="7">
        <v>0</v>
      </c>
      <c r="E646" s="7">
        <v>4</v>
      </c>
      <c r="F646" s="7">
        <v>714</v>
      </c>
      <c r="G646" s="7">
        <v>-4.4000000000000004</v>
      </c>
    </row>
    <row r="647" ht="15.75">
      <c r="A647" s="7" t="s">
        <v>671</v>
      </c>
      <c r="B647" s="7">
        <v>64.599999999999994</v>
      </c>
      <c r="C647" s="7">
        <v>0.10000000000000001</v>
      </c>
      <c r="D647" s="7">
        <v>2</v>
      </c>
      <c r="E647" s="7">
        <v>4</v>
      </c>
      <c r="F647" s="7">
        <v>712</v>
      </c>
      <c r="G647" s="7">
        <v>-2.8999999999999999</v>
      </c>
    </row>
    <row r="648" ht="15.75">
      <c r="A648" s="7" t="s">
        <v>672</v>
      </c>
      <c r="B648" s="7">
        <v>64.700000000000003</v>
      </c>
      <c r="C648" s="7">
        <v>0.10000000000000001</v>
      </c>
      <c r="D648" s="7">
        <v>0</v>
      </c>
      <c r="E648" s="7">
        <v>3</v>
      </c>
      <c r="F648" s="7">
        <v>708</v>
      </c>
      <c r="G648" s="7">
        <v>-3.3999999999999999</v>
      </c>
    </row>
    <row r="649" ht="15.75">
      <c r="A649" s="7" t="s">
        <v>673</v>
      </c>
      <c r="B649" s="7">
        <v>64.799999999999997</v>
      </c>
      <c r="C649" s="7">
        <v>0.10000000000000001</v>
      </c>
      <c r="D649" s="7">
        <v>0</v>
      </c>
      <c r="E649" s="7">
        <v>5</v>
      </c>
      <c r="F649" s="7">
        <v>703</v>
      </c>
      <c r="G649" s="7">
        <v>-5</v>
      </c>
    </row>
    <row r="650" ht="15.75">
      <c r="A650" s="7" t="s">
        <v>674</v>
      </c>
      <c r="B650" s="7">
        <v>64.900000000000006</v>
      </c>
      <c r="C650" s="7">
        <v>0.10000000000000001</v>
      </c>
      <c r="D650" s="7">
        <v>0</v>
      </c>
      <c r="E650" s="7">
        <v>7</v>
      </c>
      <c r="F650" s="7">
        <v>696</v>
      </c>
      <c r="G650" s="7">
        <v>-7.5</v>
      </c>
    </row>
    <row r="651" ht="15.75">
      <c r="A651" s="7" t="s">
        <v>33</v>
      </c>
      <c r="B651" s="7">
        <v>65</v>
      </c>
      <c r="C651" s="7">
        <v>0.10000000000000001</v>
      </c>
      <c r="D651" s="7">
        <v>0</v>
      </c>
      <c r="E651" s="7">
        <v>6</v>
      </c>
      <c r="F651" s="7">
        <v>690</v>
      </c>
      <c r="G651" s="7">
        <v>-5.7999999999999998</v>
      </c>
    </row>
    <row r="652" ht="15.75">
      <c r="A652" s="7" t="s">
        <v>675</v>
      </c>
      <c r="B652" s="7">
        <v>65.099999999999994</v>
      </c>
      <c r="C652" s="7">
        <v>0.10000000000000001</v>
      </c>
      <c r="D652" s="7">
        <v>1</v>
      </c>
      <c r="E652" s="7">
        <v>1</v>
      </c>
      <c r="F652" s="7">
        <v>690</v>
      </c>
      <c r="G652" s="7">
        <v>0.29999999999999999</v>
      </c>
    </row>
    <row r="653" ht="15.75">
      <c r="A653" s="7" t="s">
        <v>676</v>
      </c>
      <c r="B653" s="7">
        <v>65.200000000000003</v>
      </c>
      <c r="C653" s="7">
        <v>0.10000000000000001</v>
      </c>
      <c r="D653" s="7">
        <v>1</v>
      </c>
      <c r="E653" s="7">
        <v>5</v>
      </c>
      <c r="F653" s="7">
        <v>686</v>
      </c>
      <c r="G653" s="7">
        <v>-4.2000000000000002</v>
      </c>
    </row>
    <row r="654" ht="15.75">
      <c r="A654" s="7" t="s">
        <v>677</v>
      </c>
      <c r="B654" s="7">
        <v>65.299999999999997</v>
      </c>
      <c r="C654" s="7">
        <v>0.10000000000000001</v>
      </c>
      <c r="D654" s="7">
        <v>0</v>
      </c>
      <c r="E654" s="7">
        <v>4</v>
      </c>
      <c r="F654" s="7">
        <v>682</v>
      </c>
      <c r="G654" s="7">
        <v>-3.7999999999999998</v>
      </c>
    </row>
    <row r="655" ht="15.75">
      <c r="A655" s="7" t="s">
        <v>678</v>
      </c>
      <c r="B655" s="7">
        <v>65.400000000000006</v>
      </c>
      <c r="C655" s="7">
        <v>0.10000000000000001</v>
      </c>
      <c r="D655" s="7">
        <v>0</v>
      </c>
      <c r="E655" s="7">
        <v>4</v>
      </c>
      <c r="F655" s="7">
        <v>678</v>
      </c>
      <c r="G655" s="7">
        <v>-4</v>
      </c>
    </row>
    <row r="656" ht="15.75">
      <c r="A656" s="7" t="s">
        <v>679</v>
      </c>
      <c r="B656" s="7">
        <v>65.5</v>
      </c>
      <c r="C656" s="7">
        <v>0.10000000000000001</v>
      </c>
      <c r="D656" s="7">
        <v>0</v>
      </c>
      <c r="E656" s="7">
        <v>5</v>
      </c>
      <c r="F656" s="7">
        <v>673</v>
      </c>
      <c r="G656" s="7">
        <v>-5</v>
      </c>
    </row>
    <row r="657" ht="15.75">
      <c r="A657" s="7" t="s">
        <v>680</v>
      </c>
      <c r="B657" s="7">
        <v>65.599999999999994</v>
      </c>
      <c r="C657" s="7">
        <v>0.10000000000000001</v>
      </c>
      <c r="D657" s="7">
        <v>0</v>
      </c>
      <c r="E657" s="7">
        <v>4</v>
      </c>
      <c r="F657" s="7">
        <v>669</v>
      </c>
      <c r="G657" s="7">
        <v>-4</v>
      </c>
    </row>
    <row r="658" ht="15.75">
      <c r="A658" s="7" t="s">
        <v>681</v>
      </c>
      <c r="B658" s="7">
        <v>65.700000000000003</v>
      </c>
      <c r="C658" s="7">
        <v>0.10000000000000001</v>
      </c>
      <c r="D658" s="7">
        <v>0</v>
      </c>
      <c r="E658" s="7">
        <v>7</v>
      </c>
      <c r="F658" s="7">
        <v>662</v>
      </c>
      <c r="G658" s="7">
        <v>-7.4000000000000004</v>
      </c>
    </row>
    <row r="659" ht="15.75">
      <c r="A659" s="7" t="s">
        <v>682</v>
      </c>
      <c r="B659" s="7">
        <v>65.799999999999997</v>
      </c>
      <c r="C659" s="7">
        <v>0.10000000000000001</v>
      </c>
      <c r="D659" s="7">
        <v>0</v>
      </c>
      <c r="E659" s="7">
        <v>4</v>
      </c>
      <c r="F659" s="7">
        <v>658</v>
      </c>
      <c r="G659" s="7">
        <v>-4.2000000000000002</v>
      </c>
    </row>
    <row r="660" ht="15.75">
      <c r="A660" s="7" t="s">
        <v>683</v>
      </c>
      <c r="B660" s="7">
        <v>65.900000000000006</v>
      </c>
      <c r="C660" s="7">
        <v>0.10000000000000001</v>
      </c>
      <c r="D660" s="7">
        <v>0</v>
      </c>
      <c r="E660" s="7">
        <v>4</v>
      </c>
      <c r="F660" s="7">
        <v>654</v>
      </c>
      <c r="G660" s="7">
        <v>-4</v>
      </c>
    </row>
    <row r="661" ht="15.75">
      <c r="A661" s="7" t="s">
        <v>684</v>
      </c>
      <c r="B661" s="7">
        <v>66</v>
      </c>
      <c r="C661" s="7">
        <v>0.10000000000000001</v>
      </c>
      <c r="D661" s="7">
        <v>0</v>
      </c>
      <c r="E661" s="7">
        <v>3</v>
      </c>
      <c r="F661" s="7">
        <v>651</v>
      </c>
      <c r="G661" s="7">
        <v>-2.7999999999999998</v>
      </c>
    </row>
    <row r="662" ht="15.75">
      <c r="A662" s="7" t="s">
        <v>685</v>
      </c>
      <c r="B662" s="7">
        <v>66.099999999999994</v>
      </c>
      <c r="C662" s="7">
        <v>0.10000000000000001</v>
      </c>
      <c r="D662" s="7">
        <v>0</v>
      </c>
      <c r="E662" s="7">
        <v>2</v>
      </c>
      <c r="F662" s="7">
        <v>649</v>
      </c>
      <c r="G662" s="7">
        <v>-1.5</v>
      </c>
    </row>
    <row r="663" ht="15.75">
      <c r="A663" s="7" t="s">
        <v>686</v>
      </c>
      <c r="B663" s="7">
        <v>66.200000000000003</v>
      </c>
      <c r="C663" s="7">
        <v>0.10000000000000001</v>
      </c>
      <c r="D663" s="7">
        <v>1</v>
      </c>
      <c r="E663" s="7">
        <v>0</v>
      </c>
      <c r="F663" s="7">
        <v>650</v>
      </c>
      <c r="G663" s="7">
        <v>0.59999999999999998</v>
      </c>
    </row>
    <row r="664" ht="15.75">
      <c r="A664" s="7" t="s">
        <v>687</v>
      </c>
      <c r="B664" s="7">
        <v>66.299999999999997</v>
      </c>
      <c r="C664" s="7">
        <v>0.10000000000000001</v>
      </c>
      <c r="D664" s="7">
        <v>0</v>
      </c>
      <c r="E664" s="7">
        <v>0</v>
      </c>
      <c r="F664" s="7">
        <v>649</v>
      </c>
      <c r="G664" s="7">
        <v>-0.40000000000000002</v>
      </c>
    </row>
    <row r="665" ht="15.75">
      <c r="A665" s="7" t="s">
        <v>688</v>
      </c>
      <c r="B665" s="7">
        <v>66.400000000000006</v>
      </c>
      <c r="C665" s="7">
        <v>0.10000000000000001</v>
      </c>
      <c r="D665" s="7">
        <v>0</v>
      </c>
      <c r="E665" s="7">
        <v>1</v>
      </c>
      <c r="F665" s="7">
        <v>648</v>
      </c>
      <c r="G665" s="7">
        <v>-1.2</v>
      </c>
    </row>
    <row r="666" ht="15.75">
      <c r="A666" s="7" t="s">
        <v>689</v>
      </c>
      <c r="B666" s="7">
        <v>66.5</v>
      </c>
      <c r="C666" s="7">
        <v>0.10000000000000001</v>
      </c>
      <c r="D666" s="7">
        <v>0</v>
      </c>
      <c r="E666" s="7">
        <v>1</v>
      </c>
      <c r="F666" s="7">
        <v>647</v>
      </c>
      <c r="G666" s="7">
        <v>-1.3</v>
      </c>
    </row>
    <row r="667" ht="15.75">
      <c r="A667" s="7" t="s">
        <v>690</v>
      </c>
      <c r="B667" s="7">
        <v>66.599999999999994</v>
      </c>
      <c r="C667" s="7">
        <v>0.10000000000000001</v>
      </c>
      <c r="D667" s="7">
        <v>0</v>
      </c>
      <c r="E667" s="7">
        <v>2</v>
      </c>
      <c r="F667" s="7">
        <v>645</v>
      </c>
      <c r="G667" s="7">
        <v>-1.8</v>
      </c>
    </row>
    <row r="668" ht="15.75">
      <c r="A668" s="7" t="s">
        <v>691</v>
      </c>
      <c r="B668" s="7">
        <v>66.700000000000003</v>
      </c>
      <c r="C668" s="7">
        <v>0.10000000000000001</v>
      </c>
      <c r="D668" s="7">
        <v>0</v>
      </c>
      <c r="E668" s="7">
        <v>3</v>
      </c>
      <c r="F668" s="7">
        <v>642</v>
      </c>
      <c r="G668" s="7">
        <v>-3.1000000000000001</v>
      </c>
    </row>
    <row r="669" ht="15.75">
      <c r="A669" s="7" t="s">
        <v>692</v>
      </c>
      <c r="B669" s="7">
        <v>66.799999999999997</v>
      </c>
      <c r="C669" s="7">
        <v>0.10000000000000001</v>
      </c>
      <c r="D669" s="7">
        <v>0</v>
      </c>
      <c r="E669" s="7">
        <v>3</v>
      </c>
      <c r="F669" s="7">
        <v>639</v>
      </c>
      <c r="G669" s="7">
        <v>-3.3999999999999999</v>
      </c>
    </row>
    <row r="670" ht="15.75">
      <c r="A670" s="7" t="s">
        <v>693</v>
      </c>
      <c r="B670" s="7">
        <v>66.900000000000006</v>
      </c>
      <c r="C670" s="7">
        <v>0.10000000000000001</v>
      </c>
      <c r="D670" s="7">
        <v>0</v>
      </c>
      <c r="E670" s="7">
        <v>5</v>
      </c>
      <c r="F670" s="7">
        <v>634</v>
      </c>
      <c r="G670" s="7">
        <v>-4.5</v>
      </c>
    </row>
    <row r="671" ht="15.75">
      <c r="A671" s="7" t="s">
        <v>694</v>
      </c>
      <c r="B671" s="7">
        <v>67</v>
      </c>
      <c r="C671" s="7">
        <v>0.10000000000000001</v>
      </c>
      <c r="D671" s="7">
        <v>0</v>
      </c>
      <c r="E671" s="7">
        <v>5</v>
      </c>
      <c r="F671" s="7">
        <v>629</v>
      </c>
      <c r="G671" s="7">
        <v>-5.2999999999999998</v>
      </c>
    </row>
    <row r="672" ht="15.75">
      <c r="A672" s="7" t="s">
        <v>695</v>
      </c>
      <c r="B672" s="7">
        <v>67.099999999999994</v>
      </c>
      <c r="C672" s="7">
        <v>0.10000000000000001</v>
      </c>
      <c r="D672" s="7">
        <v>0</v>
      </c>
      <c r="E672" s="7">
        <v>17</v>
      </c>
      <c r="F672" s="7">
        <v>612</v>
      </c>
      <c r="G672" s="7">
        <v>-16.699999999999999</v>
      </c>
    </row>
    <row r="673" ht="15.75">
      <c r="A673" s="7" t="s">
        <v>696</v>
      </c>
      <c r="B673" s="7">
        <v>67.200000000000003</v>
      </c>
      <c r="C673" s="7">
        <v>0.10000000000000001</v>
      </c>
      <c r="D673" s="7">
        <v>0</v>
      </c>
      <c r="E673" s="7">
        <v>5</v>
      </c>
      <c r="F673" s="7">
        <v>607</v>
      </c>
      <c r="G673" s="7">
        <v>-5.2000000000000002</v>
      </c>
    </row>
    <row r="674" ht="15.75">
      <c r="A674" s="7" t="s">
        <v>697</v>
      </c>
      <c r="B674" s="7">
        <v>67.299999999999997</v>
      </c>
      <c r="C674" s="7">
        <v>0.10000000000000001</v>
      </c>
      <c r="D674" s="7">
        <v>0</v>
      </c>
      <c r="E674" s="7">
        <v>4</v>
      </c>
      <c r="F674" s="7">
        <v>603</v>
      </c>
      <c r="G674" s="7">
        <v>-3.5</v>
      </c>
    </row>
    <row r="675" ht="15.75">
      <c r="A675" s="7" t="s">
        <v>698</v>
      </c>
      <c r="B675" s="7">
        <v>67.400000000000006</v>
      </c>
      <c r="C675" s="7">
        <v>0.10000000000000001</v>
      </c>
      <c r="D675" s="7">
        <v>0</v>
      </c>
      <c r="E675" s="7">
        <v>9</v>
      </c>
      <c r="F675" s="7">
        <v>594</v>
      </c>
      <c r="G675" s="7">
        <v>-9</v>
      </c>
    </row>
    <row r="676" ht="15.75">
      <c r="A676" s="7" t="s">
        <v>699</v>
      </c>
      <c r="B676" s="7">
        <v>67.5</v>
      </c>
      <c r="C676" s="7">
        <v>0.10000000000000001</v>
      </c>
      <c r="D676" s="7">
        <v>0</v>
      </c>
      <c r="E676" s="7">
        <v>6</v>
      </c>
      <c r="F676" s="7">
        <v>588</v>
      </c>
      <c r="G676" s="7">
        <v>-6.2999999999999998</v>
      </c>
    </row>
    <row r="677" ht="15.75">
      <c r="A677" s="7" t="s">
        <v>700</v>
      </c>
      <c r="B677" s="7">
        <v>67.599999999999994</v>
      </c>
      <c r="C677" s="7">
        <v>0.10000000000000001</v>
      </c>
      <c r="D677" s="7">
        <v>1</v>
      </c>
      <c r="E677" s="7">
        <v>6</v>
      </c>
      <c r="F677" s="7">
        <v>583</v>
      </c>
      <c r="G677" s="7">
        <v>-5</v>
      </c>
    </row>
    <row r="678" ht="15.75">
      <c r="A678" s="7" t="s">
        <v>701</v>
      </c>
      <c r="B678" s="7">
        <v>67.700000000000003</v>
      </c>
      <c r="C678" s="7">
        <v>0.10000000000000001</v>
      </c>
      <c r="D678" s="7">
        <v>0</v>
      </c>
      <c r="E678" s="7">
        <v>7</v>
      </c>
      <c r="F678" s="7">
        <v>576</v>
      </c>
      <c r="G678" s="7">
        <v>-7.4000000000000004</v>
      </c>
    </row>
    <row r="679" ht="15.75">
      <c r="A679" s="7" t="s">
        <v>702</v>
      </c>
      <c r="B679" s="7">
        <v>67.799999999999997</v>
      </c>
      <c r="C679" s="7">
        <v>0.10000000000000001</v>
      </c>
      <c r="D679" s="7">
        <v>0</v>
      </c>
      <c r="E679" s="7">
        <v>3</v>
      </c>
      <c r="F679" s="7">
        <v>573</v>
      </c>
      <c r="G679" s="7">
        <v>-3</v>
      </c>
    </row>
    <row r="680" ht="15.75">
      <c r="A680" s="7" t="s">
        <v>703</v>
      </c>
      <c r="B680" s="7">
        <v>67.900000000000006</v>
      </c>
      <c r="C680" s="7">
        <v>0.10000000000000001</v>
      </c>
      <c r="D680" s="7">
        <v>1</v>
      </c>
      <c r="E680" s="7">
        <v>1</v>
      </c>
      <c r="F680" s="7">
        <v>572</v>
      </c>
      <c r="G680" s="7">
        <v>-0.59999999999999998</v>
      </c>
    </row>
    <row r="681" ht="15.75">
      <c r="A681" s="7" t="s">
        <v>704</v>
      </c>
      <c r="B681" s="7">
        <v>68</v>
      </c>
      <c r="C681" s="7">
        <v>0.10000000000000001</v>
      </c>
      <c r="D681" s="7">
        <v>3</v>
      </c>
      <c r="E681" s="7">
        <v>1</v>
      </c>
      <c r="F681" s="7">
        <v>574</v>
      </c>
      <c r="G681" s="7">
        <v>1.8</v>
      </c>
    </row>
    <row r="682" ht="15.75">
      <c r="A682" s="7" t="s">
        <v>705</v>
      </c>
      <c r="B682" s="7">
        <v>68.099999999999994</v>
      </c>
      <c r="C682" s="7">
        <v>0.10000000000000001</v>
      </c>
      <c r="D682" s="7">
        <v>0</v>
      </c>
      <c r="E682" s="7">
        <v>9</v>
      </c>
      <c r="F682" s="7">
        <v>565</v>
      </c>
      <c r="G682" s="7">
        <v>-9.4000000000000004</v>
      </c>
    </row>
    <row r="683" ht="15.75">
      <c r="A683" s="7" t="s">
        <v>706</v>
      </c>
      <c r="B683" s="7">
        <v>68.200000000000003</v>
      </c>
      <c r="C683" s="7">
        <v>0.10000000000000001</v>
      </c>
      <c r="D683" s="7">
        <v>0</v>
      </c>
      <c r="E683" s="7">
        <v>6</v>
      </c>
      <c r="F683" s="7">
        <v>558</v>
      </c>
      <c r="G683" s="7">
        <v>-6.4000000000000004</v>
      </c>
    </row>
    <row r="684" ht="15.75">
      <c r="A684" s="7" t="s">
        <v>707</v>
      </c>
      <c r="B684" s="7">
        <v>68.299999999999997</v>
      </c>
      <c r="C684" s="7">
        <v>0.10000000000000001</v>
      </c>
      <c r="D684" s="7">
        <v>1</v>
      </c>
      <c r="E684" s="7">
        <v>2</v>
      </c>
      <c r="F684" s="7">
        <v>556</v>
      </c>
      <c r="G684" s="7">
        <v>-1.6000000000000001</v>
      </c>
    </row>
    <row r="685" ht="15.75">
      <c r="A685" s="7" t="s">
        <v>708</v>
      </c>
      <c r="B685" s="7">
        <v>68.400000000000006</v>
      </c>
      <c r="C685" s="7">
        <v>0.10000000000000001</v>
      </c>
      <c r="D685" s="7">
        <v>5</v>
      </c>
      <c r="E685" s="7">
        <v>0</v>
      </c>
      <c r="F685" s="7">
        <v>562</v>
      </c>
      <c r="G685" s="7">
        <v>5.5</v>
      </c>
    </row>
    <row r="686" ht="15.75">
      <c r="A686" s="7" t="s">
        <v>709</v>
      </c>
      <c r="B686" s="7">
        <v>68.5</v>
      </c>
      <c r="C686" s="7">
        <v>0.10000000000000001</v>
      </c>
      <c r="D686" s="7">
        <v>2</v>
      </c>
      <c r="E686" s="7">
        <v>0</v>
      </c>
      <c r="F686" s="7">
        <v>564</v>
      </c>
      <c r="G686" s="7">
        <v>1.8</v>
      </c>
    </row>
    <row r="687" ht="15.75">
      <c r="A687" s="7" t="s">
        <v>710</v>
      </c>
      <c r="B687" s="7">
        <v>68.599999999999994</v>
      </c>
      <c r="C687" s="7">
        <v>0.10000000000000001</v>
      </c>
      <c r="D687" s="7">
        <v>1</v>
      </c>
      <c r="E687" s="7">
        <v>2</v>
      </c>
      <c r="F687" s="7">
        <v>562</v>
      </c>
      <c r="G687" s="7">
        <v>-1.3999999999999999</v>
      </c>
    </row>
    <row r="688" ht="15.75">
      <c r="A688" s="7" t="s">
        <v>711</v>
      </c>
      <c r="B688" s="7">
        <v>68.700000000000003</v>
      </c>
      <c r="C688" s="7">
        <v>0.10000000000000001</v>
      </c>
      <c r="D688" s="7">
        <v>0</v>
      </c>
      <c r="E688" s="7">
        <v>4</v>
      </c>
      <c r="F688" s="7">
        <v>559</v>
      </c>
      <c r="G688" s="7">
        <v>-3.2999999999999998</v>
      </c>
    </row>
    <row r="689" ht="15.75">
      <c r="A689" s="7" t="s">
        <v>712</v>
      </c>
      <c r="B689" s="7">
        <v>68.799999999999997</v>
      </c>
      <c r="C689" s="7">
        <v>0.10000000000000001</v>
      </c>
      <c r="D689" s="7">
        <v>10</v>
      </c>
      <c r="E689" s="7">
        <v>0</v>
      </c>
      <c r="F689" s="7">
        <v>569</v>
      </c>
      <c r="G689" s="7">
        <v>9.9000000000000004</v>
      </c>
    </row>
    <row r="690" ht="15.75">
      <c r="A690" s="7" t="s">
        <v>713</v>
      </c>
      <c r="B690" s="7">
        <v>68.900000000000006</v>
      </c>
      <c r="C690" s="7">
        <v>0.10000000000000001</v>
      </c>
      <c r="D690" s="7">
        <v>11</v>
      </c>
      <c r="E690" s="7">
        <v>2</v>
      </c>
      <c r="F690" s="7">
        <v>578</v>
      </c>
      <c r="G690" s="7">
        <v>9.4000000000000004</v>
      </c>
    </row>
    <row r="691" ht="15.75">
      <c r="A691" s="7" t="s">
        <v>714</v>
      </c>
      <c r="B691" s="7">
        <v>69</v>
      </c>
      <c r="C691" s="7">
        <v>0.10000000000000001</v>
      </c>
      <c r="D691" s="7">
        <v>2</v>
      </c>
      <c r="E691" s="7">
        <v>1</v>
      </c>
      <c r="F691" s="7">
        <v>580</v>
      </c>
      <c r="G691" s="7">
        <v>1.3999999999999999</v>
      </c>
    </row>
    <row r="692" ht="15.75">
      <c r="A692" s="7" t="s">
        <v>715</v>
      </c>
      <c r="B692" s="7">
        <v>69.099999999999994</v>
      </c>
      <c r="C692" s="7">
        <v>0.10000000000000001</v>
      </c>
      <c r="D692" s="7">
        <v>3</v>
      </c>
      <c r="E692" s="7">
        <v>0</v>
      </c>
      <c r="F692" s="7">
        <v>582</v>
      </c>
      <c r="G692" s="7">
        <v>2.1000000000000001</v>
      </c>
    </row>
    <row r="693" ht="15.75">
      <c r="A693" s="7" t="s">
        <v>716</v>
      </c>
      <c r="B693" s="7">
        <v>69.200000000000003</v>
      </c>
      <c r="C693" s="7">
        <v>0.10000000000000001</v>
      </c>
      <c r="D693" s="7">
        <v>6</v>
      </c>
      <c r="E693" s="7">
        <v>0</v>
      </c>
      <c r="F693" s="7">
        <v>588</v>
      </c>
      <c r="G693" s="7">
        <v>6.0999999999999996</v>
      </c>
    </row>
    <row r="694" ht="15.75">
      <c r="A694" s="7" t="s">
        <v>717</v>
      </c>
      <c r="B694" s="7">
        <v>69.299999999999997</v>
      </c>
      <c r="C694" s="7">
        <v>0.10000000000000001</v>
      </c>
      <c r="D694" s="7">
        <v>1</v>
      </c>
      <c r="E694" s="7">
        <v>0</v>
      </c>
      <c r="F694" s="7">
        <v>589</v>
      </c>
      <c r="G694" s="7">
        <v>0.59999999999999998</v>
      </c>
    </row>
    <row r="695" ht="15.75">
      <c r="A695" s="7" t="s">
        <v>718</v>
      </c>
      <c r="B695" s="7">
        <v>69.400000000000006</v>
      </c>
      <c r="C695" s="7">
        <v>0.10000000000000001</v>
      </c>
      <c r="D695" s="7">
        <v>2</v>
      </c>
      <c r="E695" s="7">
        <v>0</v>
      </c>
      <c r="F695" s="7">
        <v>591</v>
      </c>
      <c r="G695" s="7">
        <v>1.8999999999999999</v>
      </c>
    </row>
    <row r="696" ht="15.75">
      <c r="A696" s="7" t="s">
        <v>719</v>
      </c>
      <c r="B696" s="7">
        <v>69.5</v>
      </c>
      <c r="C696" s="7">
        <v>0.10000000000000001</v>
      </c>
      <c r="D696" s="7">
        <v>0</v>
      </c>
      <c r="E696" s="7">
        <v>0</v>
      </c>
      <c r="F696" s="7">
        <v>591</v>
      </c>
      <c r="G696" s="7">
        <v>0.40000000000000002</v>
      </c>
    </row>
    <row r="697" ht="15.75">
      <c r="A697" s="7" t="s">
        <v>720</v>
      </c>
      <c r="B697" s="7">
        <v>69.599999999999994</v>
      </c>
      <c r="C697" s="7">
        <v>0.10000000000000001</v>
      </c>
      <c r="D697" s="7">
        <v>0</v>
      </c>
      <c r="E697" s="7">
        <v>1</v>
      </c>
      <c r="F697" s="7">
        <v>590</v>
      </c>
      <c r="G697" s="7">
        <v>-0.80000000000000004</v>
      </c>
    </row>
    <row r="698" ht="15.75">
      <c r="A698" s="7" t="s">
        <v>721</v>
      </c>
      <c r="B698" s="7">
        <v>69.700000000000003</v>
      </c>
      <c r="C698" s="7">
        <v>0.10000000000000001</v>
      </c>
      <c r="D698" s="7">
        <v>0</v>
      </c>
      <c r="E698" s="7">
        <v>2</v>
      </c>
      <c r="F698" s="7">
        <v>589</v>
      </c>
      <c r="G698" s="7">
        <v>-1.7</v>
      </c>
    </row>
    <row r="699" ht="15.75">
      <c r="A699" s="7" t="s">
        <v>722</v>
      </c>
      <c r="B699" s="7">
        <v>69.799999999999997</v>
      </c>
      <c r="C699" s="7">
        <v>0.10000000000000001</v>
      </c>
      <c r="D699" s="7">
        <v>4</v>
      </c>
      <c r="E699" s="7">
        <v>0</v>
      </c>
      <c r="F699" s="7">
        <v>592</v>
      </c>
      <c r="G699" s="7">
        <v>3.5</v>
      </c>
    </row>
    <row r="700" ht="15.75">
      <c r="A700" s="7" t="s">
        <v>723</v>
      </c>
      <c r="B700" s="7">
        <v>69.900000000000006</v>
      </c>
      <c r="C700" s="7">
        <v>0.10000000000000001</v>
      </c>
      <c r="D700" s="7">
        <v>5</v>
      </c>
      <c r="E700" s="7">
        <v>0</v>
      </c>
      <c r="F700" s="7">
        <v>597</v>
      </c>
      <c r="G700" s="7">
        <v>5</v>
      </c>
    </row>
    <row r="701" ht="15.75">
      <c r="A701" s="7" t="s">
        <v>34</v>
      </c>
      <c r="B701" s="7">
        <v>70</v>
      </c>
      <c r="C701" s="7">
        <v>0.10000000000000001</v>
      </c>
      <c r="D701" s="7">
        <v>6</v>
      </c>
      <c r="E701" s="7">
        <v>0</v>
      </c>
      <c r="F701" s="7">
        <v>603</v>
      </c>
      <c r="G701" s="7">
        <v>6.2999999999999998</v>
      </c>
    </row>
    <row r="702" ht="15.75">
      <c r="A702" s="7" t="s">
        <v>724</v>
      </c>
      <c r="B702" s="7">
        <v>70.099999999999994</v>
      </c>
      <c r="C702" s="7">
        <v>0.10000000000000001</v>
      </c>
      <c r="D702" s="7">
        <v>4</v>
      </c>
      <c r="E702" s="7">
        <v>0</v>
      </c>
      <c r="F702" s="7">
        <v>607</v>
      </c>
      <c r="G702" s="7">
        <v>4</v>
      </c>
    </row>
    <row r="703" ht="15.75">
      <c r="A703" s="7" t="s">
        <v>725</v>
      </c>
      <c r="B703" s="7">
        <v>70.200000000000003</v>
      </c>
      <c r="C703" s="7">
        <v>0.10000000000000001</v>
      </c>
      <c r="D703" s="7">
        <v>3</v>
      </c>
      <c r="E703" s="7">
        <v>7</v>
      </c>
      <c r="F703" s="7">
        <v>604</v>
      </c>
      <c r="G703" s="7">
        <v>-3.7000000000000002</v>
      </c>
    </row>
    <row r="704" ht="15.75">
      <c r="A704" s="7" t="s">
        <v>726</v>
      </c>
      <c r="B704" s="7">
        <v>70.299999999999997</v>
      </c>
      <c r="C704" s="7">
        <v>0.10000000000000001</v>
      </c>
      <c r="D704" s="7">
        <v>0</v>
      </c>
      <c r="E704" s="7">
        <v>6</v>
      </c>
      <c r="F704" s="7">
        <v>598</v>
      </c>
      <c r="G704" s="7">
        <v>-5.7999999999999998</v>
      </c>
    </row>
    <row r="705" ht="15.75">
      <c r="A705" s="7" t="s">
        <v>727</v>
      </c>
      <c r="B705" s="7">
        <v>70.400000000000006</v>
      </c>
      <c r="C705" s="7">
        <v>0.10000000000000001</v>
      </c>
      <c r="D705" s="7">
        <v>0</v>
      </c>
      <c r="E705" s="7">
        <v>7</v>
      </c>
      <c r="F705" s="7">
        <v>591</v>
      </c>
      <c r="G705" s="7">
        <v>-7</v>
      </c>
    </row>
    <row r="706" ht="15.75">
      <c r="A706" s="7" t="s">
        <v>728</v>
      </c>
      <c r="B706" s="7">
        <v>70.5</v>
      </c>
      <c r="C706" s="7">
        <v>0.10000000000000001</v>
      </c>
      <c r="D706" s="7">
        <v>0</v>
      </c>
      <c r="E706" s="7">
        <v>6</v>
      </c>
      <c r="F706" s="7">
        <v>585</v>
      </c>
      <c r="G706" s="7">
        <v>-5.2999999999999998</v>
      </c>
    </row>
    <row r="707" ht="15.75">
      <c r="A707" s="7" t="s">
        <v>729</v>
      </c>
      <c r="B707" s="7">
        <v>70.599999999999994</v>
      </c>
      <c r="C707" s="7">
        <v>0.10000000000000001</v>
      </c>
      <c r="D707" s="7">
        <v>2</v>
      </c>
      <c r="E707" s="7">
        <v>4</v>
      </c>
      <c r="F707" s="7">
        <v>583</v>
      </c>
      <c r="G707" s="7">
        <v>-2.2999999999999998</v>
      </c>
    </row>
    <row r="708" ht="15.75">
      <c r="A708" s="7" t="s">
        <v>730</v>
      </c>
      <c r="B708" s="7">
        <v>70.700000000000003</v>
      </c>
      <c r="C708" s="7">
        <v>0.10000000000000001</v>
      </c>
      <c r="D708" s="7">
        <v>4</v>
      </c>
      <c r="E708" s="7">
        <v>0</v>
      </c>
      <c r="F708" s="7">
        <v>587</v>
      </c>
      <c r="G708" s="7">
        <v>4.0999999999999996</v>
      </c>
    </row>
    <row r="709" ht="15.75">
      <c r="A709" s="7" t="s">
        <v>731</v>
      </c>
      <c r="B709" s="7">
        <v>70.799999999999997</v>
      </c>
      <c r="C709" s="7">
        <v>0.10000000000000001</v>
      </c>
      <c r="D709" s="7">
        <v>0</v>
      </c>
      <c r="E709" s="7">
        <v>1</v>
      </c>
      <c r="F709" s="7">
        <v>587</v>
      </c>
      <c r="G709" s="7">
        <v>-0.80000000000000004</v>
      </c>
    </row>
    <row r="710" ht="15.75">
      <c r="A710" s="7" t="s">
        <v>732</v>
      </c>
      <c r="B710" s="7">
        <v>70.900000000000006</v>
      </c>
      <c r="C710" s="7">
        <v>0.10000000000000001</v>
      </c>
      <c r="D710" s="7">
        <v>0</v>
      </c>
      <c r="E710" s="7">
        <v>2</v>
      </c>
      <c r="F710" s="7">
        <v>585</v>
      </c>
      <c r="G710" s="7">
        <v>-1.8</v>
      </c>
    </row>
    <row r="711" ht="15.75">
      <c r="A711" s="7" t="s">
        <v>733</v>
      </c>
      <c r="B711" s="7">
        <v>71</v>
      </c>
      <c r="C711" s="7">
        <v>0.10000000000000001</v>
      </c>
      <c r="D711" s="7">
        <v>4</v>
      </c>
      <c r="E711" s="7">
        <v>0</v>
      </c>
      <c r="F711" s="7">
        <v>588</v>
      </c>
      <c r="G711" s="7">
        <v>3.1000000000000001</v>
      </c>
    </row>
    <row r="712" ht="15.75">
      <c r="A712" s="7" t="s">
        <v>734</v>
      </c>
      <c r="B712" s="7">
        <v>71.099999999999994</v>
      </c>
      <c r="C712" s="7">
        <v>0.10000000000000001</v>
      </c>
      <c r="D712" s="7">
        <v>7</v>
      </c>
      <c r="E712" s="7">
        <v>6</v>
      </c>
      <c r="F712" s="7">
        <v>589</v>
      </c>
      <c r="G712" s="7">
        <v>0.80000000000000004</v>
      </c>
    </row>
    <row r="713" ht="15.75">
      <c r="A713" s="7" t="s">
        <v>735</v>
      </c>
      <c r="B713" s="7">
        <v>71.200000000000003</v>
      </c>
      <c r="C713" s="7">
        <v>0.10000000000000001</v>
      </c>
      <c r="D713" s="7">
        <v>0</v>
      </c>
      <c r="E713" s="7">
        <v>15</v>
      </c>
      <c r="F713" s="7">
        <v>574</v>
      </c>
      <c r="G713" s="7">
        <v>-14.699999999999999</v>
      </c>
    </row>
    <row r="714" ht="15.75">
      <c r="A714" s="7" t="s">
        <v>736</v>
      </c>
      <c r="B714" s="7">
        <v>71.299999999999997</v>
      </c>
      <c r="C714" s="7">
        <v>0.10000000000000001</v>
      </c>
      <c r="D714" s="7">
        <v>0</v>
      </c>
      <c r="E714" s="7">
        <v>5</v>
      </c>
      <c r="F714" s="7">
        <v>569</v>
      </c>
      <c r="G714" s="7">
        <v>-4.7000000000000002</v>
      </c>
    </row>
    <row r="715" ht="15.75">
      <c r="A715" s="7" t="s">
        <v>737</v>
      </c>
      <c r="B715" s="7">
        <v>71.400000000000006</v>
      </c>
      <c r="C715" s="7">
        <v>0.10000000000000001</v>
      </c>
      <c r="D715" s="7">
        <v>0</v>
      </c>
      <c r="E715" s="7">
        <v>2</v>
      </c>
      <c r="F715" s="7">
        <v>568</v>
      </c>
      <c r="G715" s="7">
        <v>-1.3999999999999999</v>
      </c>
    </row>
    <row r="716" ht="15.75">
      <c r="A716" s="7" t="s">
        <v>738</v>
      </c>
      <c r="B716" s="7">
        <v>71.5</v>
      </c>
      <c r="C716" s="7">
        <v>0.10000000000000001</v>
      </c>
      <c r="D716" s="7">
        <v>1</v>
      </c>
      <c r="E716" s="7">
        <v>7</v>
      </c>
      <c r="F716" s="7">
        <v>562</v>
      </c>
      <c r="G716" s="7">
        <v>-6.2000000000000002</v>
      </c>
    </row>
    <row r="717" ht="15.75">
      <c r="A717" s="7" t="s">
        <v>739</v>
      </c>
      <c r="B717" s="7">
        <v>71.599999999999994</v>
      </c>
      <c r="C717" s="7">
        <v>0.10000000000000001</v>
      </c>
      <c r="D717" s="7">
        <v>0</v>
      </c>
      <c r="E717" s="7">
        <v>9</v>
      </c>
      <c r="F717" s="7">
        <v>552</v>
      </c>
      <c r="G717" s="7">
        <v>-9.5</v>
      </c>
    </row>
    <row r="718" ht="15.75">
      <c r="A718" s="7" t="s">
        <v>740</v>
      </c>
      <c r="B718" s="7">
        <v>71.700000000000003</v>
      </c>
      <c r="C718" s="7">
        <v>0.10000000000000001</v>
      </c>
      <c r="D718" s="7">
        <v>0</v>
      </c>
      <c r="E718" s="7">
        <v>2</v>
      </c>
      <c r="F718" s="7">
        <v>550</v>
      </c>
      <c r="G718" s="7">
        <v>-2.2999999999999998</v>
      </c>
    </row>
    <row r="719" ht="15.75">
      <c r="A719" s="7" t="s">
        <v>741</v>
      </c>
      <c r="B719" s="7">
        <v>71.799999999999997</v>
      </c>
      <c r="C719" s="7">
        <v>0.10000000000000001</v>
      </c>
      <c r="D719" s="7">
        <v>0</v>
      </c>
      <c r="E719" s="7">
        <v>7</v>
      </c>
      <c r="F719" s="7">
        <v>543</v>
      </c>
      <c r="G719" s="7">
        <v>-7.4000000000000004</v>
      </c>
    </row>
    <row r="720" ht="15.75">
      <c r="A720" s="7" t="s">
        <v>742</v>
      </c>
      <c r="B720" s="7">
        <v>71.900000000000006</v>
      </c>
      <c r="C720" s="7">
        <v>0.10000000000000001</v>
      </c>
      <c r="D720" s="7">
        <v>0</v>
      </c>
      <c r="E720" s="7">
        <v>9</v>
      </c>
      <c r="F720" s="7">
        <v>533</v>
      </c>
      <c r="G720" s="7">
        <v>-9.1999999999999993</v>
      </c>
    </row>
    <row r="721" ht="15.75">
      <c r="A721" s="7" t="s">
        <v>743</v>
      </c>
      <c r="B721" s="7">
        <v>72</v>
      </c>
      <c r="C721" s="7">
        <v>0.10000000000000001</v>
      </c>
      <c r="D721" s="7">
        <v>0</v>
      </c>
      <c r="E721" s="7">
        <v>5</v>
      </c>
      <c r="F721" s="7">
        <v>528</v>
      </c>
      <c r="G721" s="7">
        <v>-5.2000000000000002</v>
      </c>
    </row>
    <row r="722" ht="15.75">
      <c r="A722" s="7" t="s">
        <v>744</v>
      </c>
      <c r="B722" s="7">
        <v>72.099999999999994</v>
      </c>
      <c r="C722" s="7">
        <v>0.10000000000000001</v>
      </c>
      <c r="D722" s="7">
        <v>0</v>
      </c>
      <c r="E722" s="7">
        <v>2</v>
      </c>
      <c r="F722" s="7">
        <v>526</v>
      </c>
      <c r="G722" s="7">
        <v>-2.2000000000000002</v>
      </c>
    </row>
    <row r="723" ht="15.75">
      <c r="A723" s="7" t="s">
        <v>745</v>
      </c>
      <c r="B723" s="7">
        <v>72.200000000000003</v>
      </c>
      <c r="C723" s="7">
        <v>0.10000000000000001</v>
      </c>
      <c r="D723" s="7">
        <v>0</v>
      </c>
      <c r="E723" s="7">
        <v>2</v>
      </c>
      <c r="F723" s="7">
        <v>525</v>
      </c>
      <c r="G723" s="7">
        <v>-1.3999999999999999</v>
      </c>
    </row>
    <row r="724" ht="15.75">
      <c r="A724" s="7" t="s">
        <v>746</v>
      </c>
      <c r="B724" s="7">
        <v>72.299999999999997</v>
      </c>
      <c r="C724" s="7">
        <v>0.10000000000000001</v>
      </c>
      <c r="D724" s="7">
        <v>0</v>
      </c>
      <c r="E724" s="7">
        <v>5</v>
      </c>
      <c r="F724" s="7">
        <v>519</v>
      </c>
      <c r="G724" s="7">
        <v>-5.2999999999999998</v>
      </c>
    </row>
    <row r="725" ht="15.75">
      <c r="A725" s="7" t="s">
        <v>747</v>
      </c>
      <c r="B725" s="7">
        <v>72.400000000000006</v>
      </c>
      <c r="C725" s="7">
        <v>0.10000000000000001</v>
      </c>
      <c r="D725" s="7">
        <v>0</v>
      </c>
      <c r="E725" s="7">
        <v>4</v>
      </c>
      <c r="F725" s="7">
        <v>516</v>
      </c>
      <c r="G725" s="7">
        <v>-3.5</v>
      </c>
    </row>
    <row r="726" ht="15.75">
      <c r="A726" s="7" t="s">
        <v>748</v>
      </c>
      <c r="B726" s="7">
        <v>72.5</v>
      </c>
      <c r="C726" s="7">
        <v>0.10000000000000001</v>
      </c>
      <c r="D726" s="7">
        <v>2</v>
      </c>
      <c r="E726" s="7">
        <v>1</v>
      </c>
      <c r="F726" s="7">
        <v>517</v>
      </c>
      <c r="G726" s="7">
        <v>0.90000000000000002</v>
      </c>
    </row>
    <row r="727" ht="15.75">
      <c r="A727" s="7" t="s">
        <v>749</v>
      </c>
      <c r="B727" s="7">
        <v>72.599999999999994</v>
      </c>
      <c r="C727" s="7">
        <v>0.10000000000000001</v>
      </c>
      <c r="D727" s="7">
        <v>1</v>
      </c>
      <c r="E727" s="7">
        <v>1</v>
      </c>
      <c r="F727" s="7">
        <v>516</v>
      </c>
      <c r="G727" s="7">
        <v>-0.29999999999999999</v>
      </c>
    </row>
    <row r="728" ht="15.75">
      <c r="A728" s="7" t="s">
        <v>750</v>
      </c>
      <c r="B728" s="7">
        <v>72.700000000000003</v>
      </c>
      <c r="C728" s="7">
        <v>0.10000000000000001</v>
      </c>
      <c r="D728" s="7">
        <v>0</v>
      </c>
      <c r="E728" s="7">
        <v>2</v>
      </c>
      <c r="F728" s="7">
        <v>515</v>
      </c>
      <c r="G728" s="7">
        <v>-1.7</v>
      </c>
    </row>
    <row r="729" ht="15.75">
      <c r="A729" s="7" t="s">
        <v>751</v>
      </c>
      <c r="B729" s="7">
        <v>72.799999999999997</v>
      </c>
      <c r="C729" s="7">
        <v>0.10000000000000001</v>
      </c>
      <c r="D729" s="7">
        <v>0</v>
      </c>
      <c r="E729" s="7">
        <v>3</v>
      </c>
      <c r="F729" s="7">
        <v>512</v>
      </c>
      <c r="G729" s="7">
        <v>-3.1000000000000001</v>
      </c>
    </row>
    <row r="730" ht="15.75">
      <c r="A730" s="7" t="s">
        <v>752</v>
      </c>
      <c r="B730" s="7">
        <v>72.900000000000006</v>
      </c>
      <c r="C730" s="7">
        <v>0.10000000000000001</v>
      </c>
      <c r="D730" s="7">
        <v>0</v>
      </c>
      <c r="E730" s="7">
        <v>2</v>
      </c>
      <c r="F730" s="7">
        <v>509</v>
      </c>
      <c r="G730" s="7">
        <v>-2.2999999999999998</v>
      </c>
    </row>
    <row r="731" ht="15.75">
      <c r="A731" s="7" t="s">
        <v>753</v>
      </c>
      <c r="B731" s="7">
        <v>73</v>
      </c>
      <c r="C731" s="7">
        <v>0.10000000000000001</v>
      </c>
      <c r="D731" s="7">
        <v>0</v>
      </c>
      <c r="E731" s="7">
        <v>6</v>
      </c>
      <c r="F731" s="7">
        <v>504</v>
      </c>
      <c r="G731" s="7">
        <v>-5.7000000000000002</v>
      </c>
    </row>
    <row r="732" ht="15.75">
      <c r="A732" s="7" t="s">
        <v>754</v>
      </c>
      <c r="B732" s="7">
        <v>73.099999999999994</v>
      </c>
      <c r="C732" s="7">
        <v>0.10000000000000001</v>
      </c>
      <c r="D732" s="7">
        <v>0</v>
      </c>
      <c r="E732" s="7">
        <v>7</v>
      </c>
      <c r="F732" s="7">
        <v>497</v>
      </c>
      <c r="G732" s="7">
        <v>-7.0999999999999996</v>
      </c>
    </row>
    <row r="733" ht="15.75">
      <c r="A733" s="7" t="s">
        <v>755</v>
      </c>
      <c r="B733" s="7">
        <v>73.200000000000003</v>
      </c>
      <c r="C733" s="7">
        <v>0.10000000000000001</v>
      </c>
      <c r="D733" s="7">
        <v>0</v>
      </c>
      <c r="E733" s="7">
        <v>6</v>
      </c>
      <c r="F733" s="7">
        <v>491</v>
      </c>
      <c r="G733" s="7">
        <v>-5.5</v>
      </c>
    </row>
    <row r="734" ht="15.75">
      <c r="A734" s="7" t="s">
        <v>756</v>
      </c>
      <c r="B734" s="7">
        <v>73.299999999999997</v>
      </c>
      <c r="C734" s="7">
        <v>0.10000000000000001</v>
      </c>
      <c r="D734" s="7">
        <v>1</v>
      </c>
      <c r="E734" s="7">
        <v>2</v>
      </c>
      <c r="F734" s="7">
        <v>491</v>
      </c>
      <c r="G734" s="7">
        <v>-0.5</v>
      </c>
    </row>
    <row r="735" ht="15.75">
      <c r="A735" s="7" t="s">
        <v>757</v>
      </c>
      <c r="B735" s="7">
        <v>73.400000000000006</v>
      </c>
      <c r="C735" s="7">
        <v>0.10000000000000001</v>
      </c>
      <c r="D735" s="7">
        <v>2</v>
      </c>
      <c r="E735" s="7">
        <v>1</v>
      </c>
      <c r="F735" s="7">
        <v>492</v>
      </c>
      <c r="G735" s="7">
        <v>1.5</v>
      </c>
    </row>
    <row r="736" ht="15.75">
      <c r="A736" s="7" t="s">
        <v>758</v>
      </c>
      <c r="B736" s="7">
        <v>73.5</v>
      </c>
      <c r="C736" s="7">
        <v>0.10000000000000001</v>
      </c>
      <c r="D736" s="7">
        <v>3</v>
      </c>
      <c r="E736" s="7">
        <v>0</v>
      </c>
      <c r="F736" s="7">
        <v>495</v>
      </c>
      <c r="G736" s="7">
        <v>3</v>
      </c>
    </row>
    <row r="737" ht="15.75">
      <c r="A737" s="7" t="s">
        <v>759</v>
      </c>
      <c r="B737" s="7">
        <v>73.599999999999994</v>
      </c>
      <c r="C737" s="7">
        <v>0.10000000000000001</v>
      </c>
      <c r="D737" s="7">
        <v>1</v>
      </c>
      <c r="E737" s="7">
        <v>0</v>
      </c>
      <c r="F737" s="7">
        <v>496</v>
      </c>
      <c r="G737" s="7">
        <v>0.69999999999999996</v>
      </c>
    </row>
    <row r="738" ht="15.75">
      <c r="A738" s="7" t="s">
        <v>760</v>
      </c>
      <c r="B738" s="7">
        <v>73.700000000000003</v>
      </c>
      <c r="C738" s="7">
        <v>0.10000000000000001</v>
      </c>
      <c r="D738" s="7">
        <v>0</v>
      </c>
      <c r="E738" s="7">
        <v>1</v>
      </c>
      <c r="F738" s="7">
        <v>495</v>
      </c>
      <c r="G738" s="7">
        <v>-0.29999999999999999</v>
      </c>
    </row>
    <row r="739" ht="15.75">
      <c r="A739" s="7" t="s">
        <v>761</v>
      </c>
      <c r="B739" s="7">
        <v>73.799999999999997</v>
      </c>
      <c r="C739" s="7">
        <v>0.10000000000000001</v>
      </c>
      <c r="D739" s="7">
        <v>0</v>
      </c>
      <c r="E739" s="7">
        <v>4</v>
      </c>
      <c r="F739" s="7">
        <v>491</v>
      </c>
      <c r="G739" s="7">
        <v>-4.2999999999999998</v>
      </c>
    </row>
    <row r="740" ht="15.75">
      <c r="A740" s="7" t="s">
        <v>762</v>
      </c>
      <c r="B740" s="7">
        <v>73.900000000000006</v>
      </c>
      <c r="C740" s="7">
        <v>0.10000000000000001</v>
      </c>
      <c r="D740" s="7">
        <v>0</v>
      </c>
      <c r="E740" s="7">
        <v>4</v>
      </c>
      <c r="F740" s="7">
        <v>487</v>
      </c>
      <c r="G740" s="7">
        <v>-4.0999999999999996</v>
      </c>
    </row>
    <row r="741" ht="15.75">
      <c r="A741" s="7" t="s">
        <v>35</v>
      </c>
      <c r="B741" s="7">
        <v>73.930000000000007</v>
      </c>
      <c r="C741" s="7">
        <v>2.9999999999999999e-02</v>
      </c>
      <c r="D741" s="7">
        <v>0</v>
      </c>
      <c r="E741" s="7">
        <v>0</v>
      </c>
      <c r="F741" s="7">
        <v>487</v>
      </c>
      <c r="G741" s="7">
        <v>-1.3999999999999999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</cp:revision>
  <dcterms:modified xsi:type="dcterms:W3CDTF">2026-05-01T17:16:17Z</dcterms:modified>
</cp:coreProperties>
</file>